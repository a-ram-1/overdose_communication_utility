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6640cdcc3fd6a19/Desktop/ct_overdose_info_survey/"/>
    </mc:Choice>
  </mc:AlternateContent>
  <xr:revisionPtr revIDLastSave="0" documentId="8_{05367C0A-E60F-40CE-A359-84E8ACF7B559}" xr6:coauthVersionLast="47" xr6:coauthVersionMax="47" xr10:uidLastSave="{00000000-0000-0000-0000-000000000000}"/>
  <bookViews>
    <workbookView xWindow="-108" yWindow="-108" windowWidth="23256" windowHeight="13896" xr2:uid="{FA95889F-8380-464E-9B70-97B719C0A9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81" i="1" l="1"/>
  <c r="Z79" i="1"/>
  <c r="Z77" i="1"/>
  <c r="AA77" i="1" s="1"/>
  <c r="Y81" i="1"/>
  <c r="Y79" i="1"/>
  <c r="Y77" i="1"/>
  <c r="Q81" i="1"/>
  <c r="Q79" i="1"/>
  <c r="Q77" i="1"/>
  <c r="P81" i="1"/>
  <c r="P79" i="1"/>
  <c r="P77" i="1"/>
  <c r="AA80" i="1"/>
  <c r="AA79" i="1"/>
  <c r="AA78" i="1"/>
  <c r="AA76" i="1"/>
  <c r="AA75" i="1"/>
  <c r="R80" i="1"/>
  <c r="R78" i="1"/>
  <c r="R77" i="1"/>
  <c r="R76" i="1"/>
  <c r="R75" i="1"/>
  <c r="I81" i="1"/>
  <c r="J81" i="1" s="1"/>
  <c r="I79" i="1"/>
  <c r="I77" i="1"/>
  <c r="H81" i="1"/>
  <c r="H79" i="1"/>
  <c r="H77" i="1"/>
  <c r="AA71" i="1"/>
  <c r="AA69" i="1"/>
  <c r="AA67" i="1"/>
  <c r="Z71" i="1"/>
  <c r="Z69" i="1"/>
  <c r="Z67" i="1"/>
  <c r="R71" i="1"/>
  <c r="R69" i="1"/>
  <c r="S69" i="1" s="1"/>
  <c r="R67" i="1"/>
  <c r="Q71" i="1"/>
  <c r="Q69" i="1"/>
  <c r="Q67" i="1"/>
  <c r="I71" i="1"/>
  <c r="I69" i="1"/>
  <c r="J69" i="1" s="1"/>
  <c r="I67" i="1"/>
  <c r="J67" i="1" s="1"/>
  <c r="H71" i="1"/>
  <c r="H69" i="1"/>
  <c r="H67" i="1"/>
  <c r="J80" i="1"/>
  <c r="J79" i="1"/>
  <c r="J78" i="1"/>
  <c r="J76" i="1"/>
  <c r="J75" i="1"/>
  <c r="AA62" i="1"/>
  <c r="AA60" i="1"/>
  <c r="AA58" i="1"/>
  <c r="AB58" i="1" s="1"/>
  <c r="Z62" i="1"/>
  <c r="Z60" i="1"/>
  <c r="Z58" i="1"/>
  <c r="R62" i="1"/>
  <c r="R58" i="1"/>
  <c r="Q62" i="1"/>
  <c r="Q60" i="1"/>
  <c r="Q58" i="1"/>
  <c r="I62" i="1"/>
  <c r="J62" i="1" s="1"/>
  <c r="I60" i="1"/>
  <c r="I58" i="1"/>
  <c r="H62" i="1"/>
  <c r="H60" i="1"/>
  <c r="H58" i="1"/>
  <c r="AA53" i="1"/>
  <c r="AA51" i="1"/>
  <c r="AA49" i="1"/>
  <c r="Z53" i="1"/>
  <c r="Z51" i="1"/>
  <c r="Z49" i="1"/>
  <c r="R53" i="1"/>
  <c r="S53" i="1" s="1"/>
  <c r="R51" i="1"/>
  <c r="R49" i="1"/>
  <c r="Q53" i="1"/>
  <c r="Q51" i="1"/>
  <c r="Q49" i="1"/>
  <c r="I53" i="1"/>
  <c r="J53" i="1" s="1"/>
  <c r="I51" i="1"/>
  <c r="I49" i="1"/>
  <c r="H53" i="1"/>
  <c r="H51" i="1"/>
  <c r="H49" i="1"/>
  <c r="Y44" i="1"/>
  <c r="Y42" i="1"/>
  <c r="Y40" i="1"/>
  <c r="Z44" i="1"/>
  <c r="Z42" i="1"/>
  <c r="Z40" i="1"/>
  <c r="AA40" i="1" s="1"/>
  <c r="Q44" i="1"/>
  <c r="Q42" i="1"/>
  <c r="Q40" i="1"/>
  <c r="P44" i="1"/>
  <c r="P42" i="1"/>
  <c r="P40" i="1"/>
  <c r="AB70" i="1"/>
  <c r="AB68" i="1"/>
  <c r="AB66" i="1"/>
  <c r="AB65" i="1"/>
  <c r="S70" i="1"/>
  <c r="S68" i="1"/>
  <c r="S66" i="1"/>
  <c r="S65" i="1"/>
  <c r="J70" i="1"/>
  <c r="J68" i="1"/>
  <c r="J66" i="1"/>
  <c r="J65" i="1"/>
  <c r="AB61" i="1"/>
  <c r="AB59" i="1"/>
  <c r="AB57" i="1"/>
  <c r="AB56" i="1"/>
  <c r="S61" i="1"/>
  <c r="S60" i="1"/>
  <c r="S59" i="1"/>
  <c r="S58" i="1"/>
  <c r="S57" i="1"/>
  <c r="S56" i="1"/>
  <c r="J61" i="1"/>
  <c r="J59" i="1"/>
  <c r="J57" i="1"/>
  <c r="J56" i="1"/>
  <c r="AB53" i="1"/>
  <c r="AB52" i="1"/>
  <c r="AB50" i="1"/>
  <c r="AB49" i="1"/>
  <c r="AB48" i="1"/>
  <c r="AB47" i="1"/>
  <c r="S52" i="1"/>
  <c r="S51" i="1"/>
  <c r="S50" i="1"/>
  <c r="S48" i="1"/>
  <c r="S47" i="1"/>
  <c r="H44" i="1"/>
  <c r="H42" i="1"/>
  <c r="G44" i="1"/>
  <c r="G42" i="1"/>
  <c r="G40" i="1"/>
  <c r="I35" i="1"/>
  <c r="I33" i="1"/>
  <c r="H35" i="1"/>
  <c r="H33" i="1"/>
  <c r="H31" i="1"/>
  <c r="AA35" i="1"/>
  <c r="AA33" i="1"/>
  <c r="AA31" i="1"/>
  <c r="Z35" i="1"/>
  <c r="Z33" i="1"/>
  <c r="Z31" i="1"/>
  <c r="R35" i="1"/>
  <c r="R33" i="1"/>
  <c r="R31" i="1"/>
  <c r="Q35" i="1"/>
  <c r="Q33" i="1"/>
  <c r="Q31" i="1"/>
  <c r="J52" i="1"/>
  <c r="J50" i="1"/>
  <c r="J49" i="1"/>
  <c r="J48" i="1"/>
  <c r="J47" i="1"/>
  <c r="AA43" i="1"/>
  <c r="AA41" i="1"/>
  <c r="AA39" i="1"/>
  <c r="AA38" i="1"/>
  <c r="R44" i="1"/>
  <c r="R43" i="1"/>
  <c r="R41" i="1"/>
  <c r="R39" i="1"/>
  <c r="R38" i="1"/>
  <c r="I44" i="1"/>
  <c r="I43" i="1"/>
  <c r="I41" i="1"/>
  <c r="I39" i="1"/>
  <c r="I38" i="1"/>
  <c r="AB34" i="1"/>
  <c r="AB32" i="1"/>
  <c r="AB30" i="1"/>
  <c r="AB29" i="1"/>
  <c r="S34" i="1"/>
  <c r="S32" i="1"/>
  <c r="S30" i="1"/>
  <c r="S29" i="1"/>
  <c r="J34" i="1"/>
  <c r="J32" i="1"/>
  <c r="J30" i="1"/>
  <c r="J29" i="1"/>
  <c r="N8" i="1"/>
  <c r="N5" i="1"/>
  <c r="O5" i="1"/>
  <c r="P5" i="1"/>
  <c r="Z23" i="1"/>
  <c r="AA23" i="1"/>
  <c r="AA21" i="1"/>
  <c r="AA20" i="1"/>
  <c r="Z20" i="1"/>
  <c r="Z21" i="1"/>
  <c r="AB22" i="1"/>
  <c r="AB19" i="1"/>
  <c r="AB17" i="1"/>
  <c r="AB18" i="1"/>
  <c r="N6" i="1"/>
  <c r="O6" i="1"/>
  <c r="P3" i="1"/>
  <c r="N3" i="1"/>
  <c r="O3" i="1"/>
  <c r="P4" i="1"/>
  <c r="N4" i="1"/>
  <c r="O4" i="1"/>
  <c r="O8" i="1"/>
  <c r="E3" i="1"/>
  <c r="G3" i="1"/>
  <c r="G9" i="1"/>
  <c r="E9" i="1"/>
  <c r="I9" i="1"/>
  <c r="G8" i="1"/>
  <c r="E8" i="1"/>
  <c r="I7" i="1"/>
  <c r="G7" i="1"/>
  <c r="E7" i="1"/>
  <c r="G6" i="1"/>
  <c r="J6" i="1" s="1"/>
  <c r="E5" i="1"/>
  <c r="I5" i="1"/>
  <c r="G5" i="1"/>
  <c r="J4" i="1"/>
  <c r="R17" i="1"/>
  <c r="R18" i="1"/>
  <c r="R20" i="1"/>
  <c r="R22" i="1"/>
  <c r="Q19" i="1"/>
  <c r="Q23" i="1"/>
  <c r="Q21" i="1"/>
  <c r="P19" i="1"/>
  <c r="P23" i="1"/>
  <c r="P21" i="1"/>
  <c r="AA81" i="1" l="1"/>
  <c r="R81" i="1"/>
  <c r="R79" i="1"/>
  <c r="J77" i="1"/>
  <c r="AB71" i="1"/>
  <c r="AB69" i="1"/>
  <c r="AB67" i="1"/>
  <c r="S71" i="1"/>
  <c r="S67" i="1"/>
  <c r="J71" i="1"/>
  <c r="AB62" i="1"/>
  <c r="AB60" i="1"/>
  <c r="S62" i="1"/>
  <c r="J60" i="1"/>
  <c r="J58" i="1"/>
  <c r="AB51" i="1"/>
  <c r="S49" i="1"/>
  <c r="J51" i="1"/>
  <c r="AA44" i="1"/>
  <c r="AA42" i="1"/>
  <c r="R42" i="1"/>
  <c r="R40" i="1"/>
  <c r="J33" i="1"/>
  <c r="AB35" i="1"/>
  <c r="S33" i="1"/>
  <c r="J35" i="1"/>
  <c r="S31" i="1"/>
  <c r="I40" i="1"/>
  <c r="AB33" i="1"/>
  <c r="S35" i="1"/>
  <c r="I42" i="1"/>
  <c r="AB31" i="1"/>
  <c r="J31" i="1"/>
  <c r="R19" i="1"/>
  <c r="R21" i="1"/>
  <c r="J7" i="1"/>
  <c r="R23" i="1"/>
  <c r="AB23" i="1"/>
  <c r="AB21" i="1"/>
  <c r="AB20" i="1"/>
  <c r="J3" i="1"/>
  <c r="J9" i="1"/>
  <c r="J8" i="1"/>
  <c r="J5" i="1"/>
</calcChain>
</file>

<file path=xl/sharedStrings.xml><?xml version="1.0" encoding="utf-8"?>
<sst xmlns="http://schemas.openxmlformats.org/spreadsheetml/2006/main" count="329" uniqueCount="75">
  <si>
    <t>Communication type</t>
  </si>
  <si>
    <t>Client info sharing</t>
  </si>
  <si>
    <t>I don't receive info</t>
  </si>
  <si>
    <t>Local alerts</t>
  </si>
  <si>
    <t>Other</t>
  </si>
  <si>
    <t>Peer info sharing</t>
  </si>
  <si>
    <t>Platform info</t>
  </si>
  <si>
    <t>State alerts</t>
  </si>
  <si>
    <t>Most common</t>
  </si>
  <si>
    <t>Most helpful</t>
  </si>
  <si>
    <t xml:space="preserve">DPH spike alerts </t>
  </si>
  <si>
    <t>DPH phone calls</t>
  </si>
  <si>
    <t>review of ODMAP</t>
  </si>
  <si>
    <t>health dept ODMAP texts</t>
  </si>
  <si>
    <t>health dept phone calls</t>
  </si>
  <si>
    <t>health dept ODMAP spike alert emails</t>
  </si>
  <si>
    <t>first responder listserv</t>
  </si>
  <si>
    <t>non-ODMAP texts about ODs</t>
  </si>
  <si>
    <t>non-ODMAP calls about ODs</t>
  </si>
  <si>
    <t>communication w colleagues</t>
  </si>
  <si>
    <t>harm redux service insights</t>
  </si>
  <si>
    <t>drug testing site insights</t>
  </si>
  <si>
    <t>task force emails</t>
  </si>
  <si>
    <t>communication w clients</t>
  </si>
  <si>
    <t>I don't receive updates</t>
  </si>
  <si>
    <t>Helpful %</t>
  </si>
  <si>
    <t>Common % [using choice % otherwise the categories with more fields will always have a larger delta--ask Rick]</t>
  </si>
  <si>
    <t>Most helpful - most common</t>
  </si>
  <si>
    <t>out of people who find __ most helpful, what do they receive?</t>
  </si>
  <si>
    <t>Guide to the different communication categories</t>
  </si>
  <si>
    <t>Communication category</t>
  </si>
  <si>
    <t>Table for channel gap heatmap</t>
  </si>
  <si>
    <t>Table for preference mismatch -- using choice %</t>
  </si>
  <si>
    <t>Table for preference mismatch -- using response %</t>
  </si>
  <si>
    <t>Common % [using response % ]</t>
  </si>
  <si>
    <t>Form of communication</t>
  </si>
  <si>
    <t>ODMAP texts from health department or health district</t>
  </si>
  <si>
    <t>Phone calls from health department or health district</t>
  </si>
  <si>
    <t>ODMAP spike alert emails from health department or health district</t>
  </si>
  <si>
    <t>Non-ODMAP texts about overdoses</t>
  </si>
  <si>
    <t>Communication with colleagues</t>
  </si>
  <si>
    <t>Insights from harm reduction services</t>
  </si>
  <si>
    <t>Insights from drug testing sites</t>
  </si>
  <si>
    <t>Regular messages from task forces/prevention councils</t>
  </si>
  <si>
    <t>Regular messages from first responder listserv</t>
  </si>
  <si>
    <t>Peer information sharing</t>
  </si>
  <si>
    <t>Communication with clients</t>
  </si>
  <si>
    <t>Client information sharing</t>
  </si>
  <si>
    <t>I don't receive updates or information about overdoses</t>
  </si>
  <si>
    <t>Review of ODMAP or other software [e.g. EpiCenter]</t>
  </si>
  <si>
    <t>Platform information</t>
  </si>
  <si>
    <t>Phone calls from CT DPH</t>
  </si>
  <si>
    <t>ODMAP spike alert emails from CT DPH</t>
  </si>
  <si>
    <t>Table for channel gap heatmap -- first responder</t>
  </si>
  <si>
    <t>Table for channel gap heatmap -- govt and health district</t>
  </si>
  <si>
    <t>Table for channel gap heatmap -- other</t>
  </si>
  <si>
    <t>*adds up to &gt;100?</t>
  </si>
  <si>
    <t>*adds up to &lt;100?</t>
  </si>
  <si>
    <t>&gt;100</t>
  </si>
  <si>
    <t>Table for channel gap heatmap -- DPH funding</t>
  </si>
  <si>
    <t>&lt;100</t>
  </si>
  <si>
    <t>Table for channel gap heatmap -- DMHAS funding</t>
  </si>
  <si>
    <t>Table for channel gap heatmap -- other funding</t>
  </si>
  <si>
    <t>Table for channel gap heatmap -- no funding</t>
  </si>
  <si>
    <t>Table for channel gap heatmap -- Hartford county</t>
  </si>
  <si>
    <t xml:space="preserve"> Table for channel gap heatmap -- New London County</t>
  </si>
  <si>
    <t xml:space="preserve"> Table for channel gap heatmap -- Middlesex County</t>
  </si>
  <si>
    <t>Table for channel gap heatmap -- Litchfield County</t>
  </si>
  <si>
    <t>Table for channel gap heatmap -- Windham County</t>
  </si>
  <si>
    <t>Table for channel gap heatmap -- Tolland County</t>
  </si>
  <si>
    <t xml:space="preserve"> Table for channel gap heatmap -- New Haven County</t>
  </si>
  <si>
    <t>Table for channel gap heatmap -- Fairfield County</t>
  </si>
  <si>
    <t>Table for channel gap heatmap -- SSPs and substance use</t>
  </si>
  <si>
    <t>Table for channel gap heatmap -- mismatch</t>
  </si>
  <si>
    <t>Table for channel gap heatmap -- no mismatch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</si>
</sst>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FFFFFF"/>
      </a:dk1>
      <a:lt1>
        <a:sysClr val="window" lastClr="000000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00DF7-EE54-4BA3-87B1-B0F8DF1F100F}">
  <dimension ref="A1:AD82"/>
  <sheetViews>
    <sheetView tabSelected="1" zoomScaleNormal="100" workbookViewId="0">
      <selection activeCell="G3" sqref="G3"/>
    </sheetView>
  </sheetViews>
  <sheetFormatPr defaultRowHeight="14.4" x14ac:dyDescent="0.3"/>
  <cols>
    <col min="2" max="2" width="20.6640625" customWidth="1"/>
    <col min="3" max="3" width="21.6640625" style="1" customWidth="1"/>
    <col min="4" max="4" width="23.21875" style="1" customWidth="1"/>
    <col min="5" max="5" width="20.6640625" customWidth="1"/>
    <col min="6" max="6" width="17.6640625" style="1" bestFit="1" customWidth="1"/>
    <col min="7" max="8" width="15.33203125" style="1" bestFit="1" customWidth="1"/>
    <col min="9" max="9" width="10.21875" bestFit="1" customWidth="1"/>
    <col min="10" max="10" width="8.33203125" customWidth="1"/>
    <col min="11" max="11" width="14.44140625" bestFit="1" customWidth="1"/>
    <col min="12" max="12" width="11.21875" style="1" bestFit="1" customWidth="1"/>
    <col min="13" max="13" width="10" bestFit="1" customWidth="1"/>
    <col min="14" max="14" width="8.88671875" customWidth="1"/>
    <col min="15" max="15" width="13.6640625" customWidth="1"/>
    <col min="16" max="16" width="13.44140625" customWidth="1"/>
    <col min="17" max="17" width="14" customWidth="1"/>
    <col min="19" max="20" width="8.88671875" style="1"/>
    <col min="21" max="21" width="11.5546875" style="1" bestFit="1" customWidth="1"/>
    <col min="22" max="22" width="8.88671875" style="1"/>
    <col min="23" max="23" width="11.5546875" style="1" bestFit="1" customWidth="1"/>
  </cols>
  <sheetData>
    <row r="1" spans="1:28" ht="72" x14ac:dyDescent="0.3">
      <c r="A1" s="3" t="s">
        <v>32</v>
      </c>
      <c r="B1" s="1"/>
      <c r="D1" s="1" t="s">
        <v>8</v>
      </c>
      <c r="E1" s="1" t="s">
        <v>28</v>
      </c>
      <c r="I1" s="1"/>
      <c r="L1" s="4" t="s">
        <v>33</v>
      </c>
      <c r="M1" s="1"/>
      <c r="N1" s="1"/>
      <c r="O1" s="1" t="s">
        <v>8</v>
      </c>
      <c r="P1" s="1" t="s">
        <v>28</v>
      </c>
      <c r="Q1" s="1"/>
      <c r="R1" s="1"/>
      <c r="U1"/>
      <c r="V1"/>
      <c r="W1"/>
    </row>
    <row r="2" spans="1:28" ht="43.2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M2" s="1" t="s">
        <v>0</v>
      </c>
      <c r="N2" s="1" t="s">
        <v>5</v>
      </c>
      <c r="O2" s="1" t="s">
        <v>3</v>
      </c>
      <c r="P2" s="1" t="s">
        <v>7</v>
      </c>
      <c r="Q2" s="1" t="s">
        <v>6</v>
      </c>
      <c r="R2" s="1" t="s">
        <v>2</v>
      </c>
      <c r="S2" s="1" t="s">
        <v>1</v>
      </c>
      <c r="T2" s="1" t="s">
        <v>4</v>
      </c>
      <c r="W2"/>
    </row>
    <row r="3" spans="1:28" ht="28.8" x14ac:dyDescent="0.3">
      <c r="B3" s="1" t="s">
        <v>1</v>
      </c>
      <c r="C3" s="1">
        <v>0.19500000000000001</v>
      </c>
      <c r="D3" s="1">
        <v>0</v>
      </c>
      <c r="E3" s="1">
        <f>SUM(2.44, 4.88, 4.88)/100</f>
        <v>0.122</v>
      </c>
      <c r="F3" s="1">
        <v>0</v>
      </c>
      <c r="G3" s="2">
        <f>SUM(4.88, 4.88, 7.32, 9.76, 17.07)/100</f>
        <v>0.43909999999999999</v>
      </c>
      <c r="H3" s="1">
        <v>0.14630000000000001</v>
      </c>
      <c r="I3" s="2">
        <v>9.7600000000000006E-2</v>
      </c>
      <c r="J3">
        <f>SUM(C3:I3)</f>
        <v>1</v>
      </c>
      <c r="M3" s="1" t="s">
        <v>5</v>
      </c>
      <c r="N3" s="2">
        <f>SUM(9.68, 11.29, 14.52, 16.13, 37.1, 46.77, 77.42)/100</f>
        <v>2.1291000000000002</v>
      </c>
      <c r="O3" s="1">
        <f>SUM(9.68, 11.29, 20.97)/100</f>
        <v>0.4194</v>
      </c>
      <c r="P3" s="2">
        <f>SUM(30.65, 6.45)/100</f>
        <v>0.371</v>
      </c>
      <c r="Q3" s="1">
        <v>0.3226</v>
      </c>
      <c r="R3" s="1">
        <v>8.0600000000000005E-2</v>
      </c>
      <c r="S3" s="1">
        <v>0.4839</v>
      </c>
      <c r="T3" s="1">
        <v>0</v>
      </c>
      <c r="W3"/>
    </row>
    <row r="4" spans="1:28" ht="28.8" x14ac:dyDescent="0.3">
      <c r="B4" s="1" t="s">
        <v>2</v>
      </c>
      <c r="C4" s="1">
        <v>6.0600000000000001E-2</v>
      </c>
      <c r="D4" s="1">
        <v>0.69699999999999995</v>
      </c>
      <c r="E4" s="1">
        <v>3.0300000000000001E-2</v>
      </c>
      <c r="F4" s="1">
        <v>3.0300000000000001E-2</v>
      </c>
      <c r="G4" s="2">
        <v>0.1515</v>
      </c>
      <c r="H4" s="1">
        <v>0</v>
      </c>
      <c r="I4" s="2">
        <v>3.0300000000000001E-2</v>
      </c>
      <c r="J4">
        <f>SUM(C4:I4)</f>
        <v>0.99999999999999989</v>
      </c>
      <c r="M4" s="1" t="s">
        <v>3</v>
      </c>
      <c r="N4" s="2">
        <f>SUM(14.29, 21.43, 28.57, 50, 64.29, 78.57)/100</f>
        <v>2.5714999999999999</v>
      </c>
      <c r="O4" s="1">
        <f>SUM(78.57, 21.43, 21.43)/100</f>
        <v>1.2143000000000002</v>
      </c>
      <c r="P4" s="2">
        <f>SUM(57.14, 14.29)/100</f>
        <v>0.71430000000000005</v>
      </c>
      <c r="Q4" s="1">
        <v>0.57140000000000002</v>
      </c>
      <c r="R4" s="1">
        <v>0</v>
      </c>
      <c r="S4" s="1">
        <v>0.64290000000000003</v>
      </c>
      <c r="T4" s="1">
        <v>0</v>
      </c>
      <c r="W4"/>
    </row>
    <row r="5" spans="1:28" x14ac:dyDescent="0.3">
      <c r="A5" t="s">
        <v>9</v>
      </c>
      <c r="B5" s="1" t="s">
        <v>3</v>
      </c>
      <c r="C5" s="1">
        <v>0.1125</v>
      </c>
      <c r="D5" s="1">
        <v>0</v>
      </c>
      <c r="E5" s="1">
        <f>SUM(3.75, 13.75, 3.75)/100</f>
        <v>0.21249999999999999</v>
      </c>
      <c r="F5" s="1">
        <v>0</v>
      </c>
      <c r="G5" s="2">
        <f>SUM(2.5, 3.75, 5, 8.75, 11.25, 13.75)/100</f>
        <v>0.45</v>
      </c>
      <c r="H5" s="1">
        <v>0.1</v>
      </c>
      <c r="I5" s="2">
        <f>SUM(10, 2.5)/100</f>
        <v>0.125</v>
      </c>
      <c r="J5">
        <f t="shared" ref="J5:J9" si="0">SUM(C5:I5)</f>
        <v>1</v>
      </c>
      <c r="M5" s="1" t="s">
        <v>7</v>
      </c>
      <c r="N5" s="2">
        <f>SUM(63.16, 36.84, 26.32, 21.05, 10.53)/100</f>
        <v>1.579</v>
      </c>
      <c r="O5" s="1">
        <f>SUM(36.84, 10.53)/100</f>
        <v>0.47370000000000007</v>
      </c>
      <c r="P5" s="2">
        <f>SUM(78.95, 15.79)/100</f>
        <v>0.94740000000000013</v>
      </c>
      <c r="Q5" s="1">
        <v>0.26319999999999999</v>
      </c>
      <c r="R5" s="1">
        <v>0</v>
      </c>
      <c r="S5" s="1">
        <v>0.26319999999999999</v>
      </c>
      <c r="T5" s="1">
        <v>0</v>
      </c>
      <c r="W5"/>
    </row>
    <row r="6" spans="1:28" ht="28.8" x14ac:dyDescent="0.3">
      <c r="B6" s="1" t="s">
        <v>4</v>
      </c>
      <c r="C6" s="1">
        <v>0</v>
      </c>
      <c r="D6" s="1">
        <v>0.1429</v>
      </c>
      <c r="E6" s="1">
        <v>0.1429</v>
      </c>
      <c r="F6" s="1">
        <v>0.28570000000000001</v>
      </c>
      <c r="G6" s="2">
        <f>0.1429*3</f>
        <v>0.42869999999999997</v>
      </c>
      <c r="H6" s="1">
        <v>0</v>
      </c>
      <c r="I6" s="2">
        <v>0</v>
      </c>
      <c r="J6">
        <f t="shared" si="0"/>
        <v>1.0002</v>
      </c>
      <c r="L6" s="1" t="s">
        <v>9</v>
      </c>
      <c r="M6" s="1" t="s">
        <v>6</v>
      </c>
      <c r="N6" s="2">
        <f>SUM(8.33, 16.67, 16.67, 16.67, 41.67)/100</f>
        <v>1.0001</v>
      </c>
      <c r="O6" s="1">
        <f>SUM(8.33, 8.33)/100</f>
        <v>0.1666</v>
      </c>
      <c r="P6" s="2">
        <v>0.66669999999999996</v>
      </c>
      <c r="Q6" s="1">
        <v>0.91669999999999996</v>
      </c>
      <c r="R6" s="1">
        <v>0</v>
      </c>
      <c r="S6" s="1">
        <v>0.25</v>
      </c>
      <c r="T6" s="1">
        <v>0</v>
      </c>
      <c r="W6"/>
    </row>
    <row r="7" spans="1:28" ht="43.2" x14ac:dyDescent="0.3">
      <c r="B7" s="1" t="s">
        <v>5</v>
      </c>
      <c r="C7" s="1">
        <v>0.12709999999999999</v>
      </c>
      <c r="D7" s="1">
        <v>2.12E-2</v>
      </c>
      <c r="E7" s="1">
        <f>SUM(2.54, 2.97, 5.51)/100</f>
        <v>0.11019999999999999</v>
      </c>
      <c r="F7" s="1">
        <v>0</v>
      </c>
      <c r="G7" s="2">
        <f>SUM(20.34, 12.29, 9.75, 4.24, 3.81, 2.97, 2.54)/100</f>
        <v>0.55940000000000001</v>
      </c>
      <c r="H7" s="1">
        <v>8.4699999999999998E-2</v>
      </c>
      <c r="I7" s="2">
        <f>SUM(8.05, 1.69)/100</f>
        <v>9.74E-2</v>
      </c>
      <c r="J7">
        <f t="shared" si="0"/>
        <v>1</v>
      </c>
      <c r="M7" s="1" t="s">
        <v>2</v>
      </c>
      <c r="N7" s="2">
        <v>0.1852</v>
      </c>
      <c r="O7" s="1">
        <v>3.6999999999999998E-2</v>
      </c>
      <c r="P7" s="2">
        <v>3.6999999999999998E-2</v>
      </c>
      <c r="Q7" s="1">
        <v>0</v>
      </c>
      <c r="R7" s="1">
        <v>0.85189999999999999</v>
      </c>
      <c r="S7" s="1">
        <v>7.4099999999999999E-2</v>
      </c>
      <c r="T7" s="1">
        <v>3.6999999999999998E-2</v>
      </c>
      <c r="W7"/>
    </row>
    <row r="8" spans="1:28" ht="28.8" x14ac:dyDescent="0.3">
      <c r="B8" s="1" t="s">
        <v>6</v>
      </c>
      <c r="C8" s="1">
        <v>8.3299999999999999E-2</v>
      </c>
      <c r="D8" s="1">
        <v>0</v>
      </c>
      <c r="E8" s="1">
        <f>SUM(2.78, 2.78)/100</f>
        <v>5.5599999999999997E-2</v>
      </c>
      <c r="F8" s="1">
        <v>0</v>
      </c>
      <c r="G8" s="2">
        <f>SUM(13.89, 5.56, 5.56, 5.56, 2.78)/100</f>
        <v>0.33349999999999996</v>
      </c>
      <c r="H8" s="1">
        <v>0.30559999999999998</v>
      </c>
      <c r="I8" s="2">
        <v>0.22220000000000001</v>
      </c>
      <c r="J8">
        <f t="shared" si="0"/>
        <v>1.0002</v>
      </c>
      <c r="M8" s="1" t="s">
        <v>1</v>
      </c>
      <c r="N8" s="2">
        <f>SUM(70, 40, 30, 20, 20)/100</f>
        <v>1.8</v>
      </c>
      <c r="O8" s="1">
        <f>SUM(20, 20, 10)/100</f>
        <v>0.5</v>
      </c>
      <c r="P8" s="2">
        <v>0.4</v>
      </c>
      <c r="Q8" s="1">
        <v>0.6</v>
      </c>
      <c r="R8" s="1">
        <v>0</v>
      </c>
      <c r="S8" s="1">
        <v>0.8</v>
      </c>
      <c r="T8" s="1">
        <v>0</v>
      </c>
      <c r="W8"/>
    </row>
    <row r="9" spans="1:28" x14ac:dyDescent="0.3">
      <c r="B9" s="1" t="s">
        <v>7</v>
      </c>
      <c r="C9" s="1">
        <v>7.46E-2</v>
      </c>
      <c r="D9" s="1">
        <v>0</v>
      </c>
      <c r="E9" s="1">
        <f>SUM(10.45, 2.99)/100</f>
        <v>0.13439999999999999</v>
      </c>
      <c r="F9" s="1">
        <v>0</v>
      </c>
      <c r="G9" s="2">
        <f>SUM(17.91, 10.45, 7.46, 5.97, 2.99)/100</f>
        <v>0.44780000000000003</v>
      </c>
      <c r="H9" s="1">
        <v>7.46E-2</v>
      </c>
      <c r="I9" s="2">
        <f>SUM(22.39, 4.48)/100</f>
        <v>0.26869999999999999</v>
      </c>
      <c r="J9">
        <f t="shared" si="0"/>
        <v>1.0001</v>
      </c>
      <c r="M9" s="1" t="s">
        <v>4</v>
      </c>
      <c r="N9">
        <v>0.67</v>
      </c>
      <c r="O9">
        <v>0.33</v>
      </c>
      <c r="P9" s="1">
        <v>0</v>
      </c>
      <c r="Q9" s="1">
        <v>0</v>
      </c>
      <c r="R9" s="1">
        <v>0.33</v>
      </c>
      <c r="S9" s="1">
        <v>0</v>
      </c>
      <c r="T9" s="1">
        <v>0.67</v>
      </c>
      <c r="W9"/>
    </row>
    <row r="10" spans="1:28" x14ac:dyDescent="0.3">
      <c r="E10" s="1"/>
      <c r="I10" s="1"/>
      <c r="V10"/>
      <c r="W10"/>
    </row>
    <row r="16" spans="1:28" ht="129.6" x14ac:dyDescent="0.3">
      <c r="C16" s="4" t="s">
        <v>29</v>
      </c>
      <c r="M16" s="3" t="s">
        <v>31</v>
      </c>
      <c r="P16" s="1" t="s">
        <v>26</v>
      </c>
      <c r="Q16" s="1" t="s">
        <v>25</v>
      </c>
      <c r="R16" t="s">
        <v>27</v>
      </c>
      <c r="W16" s="3" t="s">
        <v>31</v>
      </c>
      <c r="Z16" s="1" t="s">
        <v>34</v>
      </c>
      <c r="AA16" s="1" t="s">
        <v>25</v>
      </c>
      <c r="AB16" t="s">
        <v>27</v>
      </c>
    </row>
    <row r="17" spans="2:29" ht="28.8" x14ac:dyDescent="0.3">
      <c r="C17" s="4" t="s">
        <v>30</v>
      </c>
      <c r="O17" s="1" t="s">
        <v>2</v>
      </c>
      <c r="P17" s="1">
        <v>5.77</v>
      </c>
      <c r="Q17" s="1">
        <v>18.37</v>
      </c>
      <c r="R17">
        <f t="shared" ref="R17:R23" si="1">Q17-P17</f>
        <v>12.600000000000001</v>
      </c>
      <c r="W17"/>
      <c r="Y17" s="1" t="s">
        <v>4</v>
      </c>
      <c r="Z17" s="1">
        <v>2.01E-2</v>
      </c>
      <c r="AA17" s="1">
        <v>2.0400000000000001E-2</v>
      </c>
      <c r="AB17">
        <f t="shared" ref="AB17:AB23" si="2">AA17-Z17</f>
        <v>3.0000000000000165E-4</v>
      </c>
    </row>
    <row r="18" spans="2:29" ht="43.2" x14ac:dyDescent="0.3">
      <c r="C18" s="1" t="s">
        <v>3</v>
      </c>
      <c r="D18" s="1" t="s">
        <v>13</v>
      </c>
      <c r="E18" s="1" t="s">
        <v>14</v>
      </c>
      <c r="F18" s="1" t="s">
        <v>15</v>
      </c>
      <c r="G18"/>
      <c r="H18"/>
      <c r="O18" s="1" t="s">
        <v>4</v>
      </c>
      <c r="P18" s="1">
        <v>0.6</v>
      </c>
      <c r="Q18" s="1">
        <v>2.04</v>
      </c>
      <c r="R18">
        <f t="shared" si="1"/>
        <v>1.44</v>
      </c>
      <c r="W18"/>
      <c r="Y18" s="1" t="s">
        <v>2</v>
      </c>
      <c r="Z18" s="1">
        <v>0.1946</v>
      </c>
      <c r="AA18" s="1">
        <v>0.1837</v>
      </c>
      <c r="AB18">
        <f t="shared" si="2"/>
        <v>-1.0899999999999993E-2</v>
      </c>
    </row>
    <row r="19" spans="2:29" ht="43.2" x14ac:dyDescent="0.3">
      <c r="C19" s="1" t="s">
        <v>5</v>
      </c>
      <c r="D19" s="1" t="s">
        <v>16</v>
      </c>
      <c r="E19" s="1" t="s">
        <v>17</v>
      </c>
      <c r="F19" s="1" t="s">
        <v>18</v>
      </c>
      <c r="G19" s="1" t="s">
        <v>19</v>
      </c>
      <c r="H19" s="1" t="s">
        <v>20</v>
      </c>
      <c r="I19" s="1" t="s">
        <v>21</v>
      </c>
      <c r="J19" s="1" t="s">
        <v>22</v>
      </c>
      <c r="O19" s="1" t="s">
        <v>7</v>
      </c>
      <c r="P19" s="1">
        <f>SUM(10.93, 1.79)</f>
        <v>12.719999999999999</v>
      </c>
      <c r="Q19" s="1">
        <f>SUM(11.56, 1.36)</f>
        <v>12.92</v>
      </c>
      <c r="R19">
        <f t="shared" si="1"/>
        <v>0.20000000000000107</v>
      </c>
      <c r="W19"/>
      <c r="Y19" s="1" t="s">
        <v>6</v>
      </c>
      <c r="Z19" s="1">
        <v>0.33560000000000001</v>
      </c>
      <c r="AA19" s="1">
        <v>8.1600000000000006E-2</v>
      </c>
      <c r="AB19">
        <f t="shared" si="2"/>
        <v>-0.254</v>
      </c>
    </row>
    <row r="20" spans="2:29" ht="28.8" x14ac:dyDescent="0.3">
      <c r="C20" s="1" t="s">
        <v>1</v>
      </c>
      <c r="D20" s="1" t="s">
        <v>23</v>
      </c>
      <c r="E20" s="1"/>
      <c r="G20"/>
      <c r="H20"/>
      <c r="O20" s="1" t="s">
        <v>6</v>
      </c>
      <c r="P20" s="1">
        <v>9.94</v>
      </c>
      <c r="Q20" s="1">
        <v>8.16</v>
      </c>
      <c r="R20">
        <f t="shared" si="1"/>
        <v>-1.7799999999999994</v>
      </c>
      <c r="W20"/>
      <c r="Y20" s="1" t="s">
        <v>7</v>
      </c>
      <c r="Z20" s="1">
        <f>SUM(6.04, 36.91)/100</f>
        <v>0.42949999999999994</v>
      </c>
      <c r="AA20" s="1">
        <f>SUM(11.56, 1.36)/100</f>
        <v>0.12920000000000001</v>
      </c>
      <c r="AB20">
        <f t="shared" si="2"/>
        <v>-0.3002999999999999</v>
      </c>
    </row>
    <row r="21" spans="2:29" ht="28.8" x14ac:dyDescent="0.3">
      <c r="C21" s="1" t="s">
        <v>24</v>
      </c>
      <c r="D21" s="1" t="s">
        <v>24</v>
      </c>
      <c r="E21" s="1"/>
      <c r="G21"/>
      <c r="H21"/>
      <c r="O21" s="1" t="s">
        <v>3</v>
      </c>
      <c r="P21" s="1">
        <f>SUM(6.96, 2.78, 2.39)</f>
        <v>12.13</v>
      </c>
      <c r="Q21" s="1">
        <f>SUM(6.8, 1.36, 1.36)</f>
        <v>9.52</v>
      </c>
      <c r="R21">
        <f t="shared" si="1"/>
        <v>-2.6100000000000012</v>
      </c>
      <c r="W21"/>
      <c r="Y21" s="1" t="s">
        <v>3</v>
      </c>
      <c r="Z21" s="1">
        <f>SUM(23.49, 9.4, 8.05)/100</f>
        <v>0.40939999999999999</v>
      </c>
      <c r="AA21" s="1">
        <f>SUM(6.8, 1.36, 1.36)/100</f>
        <v>9.5199999999999993E-2</v>
      </c>
      <c r="AB21">
        <f t="shared" si="2"/>
        <v>-0.31419999999999998</v>
      </c>
    </row>
    <row r="22" spans="2:29" ht="43.2" x14ac:dyDescent="0.3">
      <c r="C22" s="1" t="s">
        <v>4</v>
      </c>
      <c r="D22" s="1" t="s">
        <v>4</v>
      </c>
      <c r="E22" s="1"/>
      <c r="G22"/>
      <c r="H22"/>
      <c r="O22" s="1" t="s">
        <v>1</v>
      </c>
      <c r="P22" s="1">
        <v>11.33</v>
      </c>
      <c r="Q22" s="1">
        <v>6.8</v>
      </c>
      <c r="R22">
        <f t="shared" si="1"/>
        <v>-4.53</v>
      </c>
      <c r="W22"/>
      <c r="Y22" s="1" t="s">
        <v>1</v>
      </c>
      <c r="Z22" s="1">
        <v>0.3826</v>
      </c>
      <c r="AA22" s="1">
        <v>6.8000000000000005E-2</v>
      </c>
      <c r="AB22">
        <f t="shared" si="2"/>
        <v>-0.31459999999999999</v>
      </c>
    </row>
    <row r="23" spans="2:29" ht="28.8" x14ac:dyDescent="0.3">
      <c r="C23" s="1" t="s">
        <v>7</v>
      </c>
      <c r="D23" s="1" t="s">
        <v>10</v>
      </c>
      <c r="E23" s="1" t="s">
        <v>11</v>
      </c>
      <c r="O23" s="1" t="s">
        <v>5</v>
      </c>
      <c r="P23" s="1">
        <f>SUM(18.09, 10.14, 7.75, 4.37, 3.38, 1.99, 1.79)</f>
        <v>47.510000000000005</v>
      </c>
      <c r="Q23" s="1">
        <f>SUM(1.36, 2.04, 3.4, 6.12, 8.84, 20.41)</f>
        <v>42.17</v>
      </c>
      <c r="R23">
        <f t="shared" si="1"/>
        <v>-5.3400000000000034</v>
      </c>
      <c r="W23"/>
      <c r="Y23" s="1" t="s">
        <v>5</v>
      </c>
      <c r="Z23" s="1">
        <f>SUM(61.07, 34.23, 26.17, 14.77, 11.41, 6.71, 6.04)/100</f>
        <v>1.6040000000000001</v>
      </c>
      <c r="AA23" s="1">
        <f>SUM(1.36, 2.04, 3.4, 6.12, 8.84, 20.41)/100</f>
        <v>0.42170000000000002</v>
      </c>
      <c r="AB23">
        <f t="shared" si="2"/>
        <v>-1.1823000000000001</v>
      </c>
    </row>
    <row r="24" spans="2:29" x14ac:dyDescent="0.3">
      <c r="C24" s="1" t="s">
        <v>6</v>
      </c>
      <c r="D24" s="1" t="s">
        <v>12</v>
      </c>
      <c r="E24" s="1"/>
    </row>
    <row r="27" spans="2:29" ht="28.8" x14ac:dyDescent="0.3">
      <c r="B27" s="6" t="s">
        <v>30</v>
      </c>
      <c r="C27" s="4" t="s">
        <v>35</v>
      </c>
    </row>
    <row r="28" spans="2:29" ht="201.6" x14ac:dyDescent="0.3">
      <c r="B28" s="8" t="s">
        <v>3</v>
      </c>
      <c r="C28" s="1" t="s">
        <v>36</v>
      </c>
      <c r="E28" s="9" t="s">
        <v>53</v>
      </c>
      <c r="F28" s="9"/>
      <c r="G28" s="9"/>
      <c r="H28" s="1" t="s">
        <v>26</v>
      </c>
      <c r="I28" s="1" t="s">
        <v>25</v>
      </c>
      <c r="J28" t="s">
        <v>27</v>
      </c>
      <c r="K28" s="1"/>
      <c r="M28" s="1"/>
      <c r="N28" s="7" t="s">
        <v>54</v>
      </c>
      <c r="O28" s="7"/>
      <c r="P28" s="7"/>
      <c r="Q28" s="1" t="s">
        <v>26</v>
      </c>
      <c r="R28" s="1" t="s">
        <v>25</v>
      </c>
      <c r="S28" t="s">
        <v>27</v>
      </c>
      <c r="W28" s="7" t="s">
        <v>72</v>
      </c>
      <c r="X28" s="7"/>
      <c r="Y28" s="7"/>
      <c r="Z28" s="1" t="s">
        <v>26</v>
      </c>
      <c r="AA28" s="1" t="s">
        <v>25</v>
      </c>
      <c r="AB28" t="s">
        <v>27</v>
      </c>
      <c r="AC28" s="1"/>
    </row>
    <row r="29" spans="2:29" ht="43.2" x14ac:dyDescent="0.3">
      <c r="B29" s="8"/>
      <c r="C29" s="1" t="s">
        <v>37</v>
      </c>
      <c r="F29"/>
      <c r="G29" s="1" t="s">
        <v>2</v>
      </c>
      <c r="H29" s="1">
        <v>14.94</v>
      </c>
      <c r="I29" s="1">
        <v>32</v>
      </c>
      <c r="J29">
        <f t="shared" ref="J29:J35" si="3">I29-H29</f>
        <v>17.060000000000002</v>
      </c>
      <c r="K29" s="1"/>
      <c r="M29" s="1"/>
      <c r="P29" s="1" t="s">
        <v>2</v>
      </c>
      <c r="Q29" s="1">
        <v>1.27</v>
      </c>
      <c r="R29" s="1">
        <v>9.09</v>
      </c>
      <c r="S29">
        <f t="shared" ref="S29:S35" si="4">R29-Q29</f>
        <v>7.82</v>
      </c>
      <c r="W29"/>
      <c r="Y29" s="1" t="s">
        <v>2</v>
      </c>
      <c r="Z29" s="1">
        <v>0.8</v>
      </c>
      <c r="AA29" s="1">
        <v>2</v>
      </c>
      <c r="AB29">
        <f t="shared" ref="AB29:AB35" si="5">AA29-Z29</f>
        <v>1.2</v>
      </c>
      <c r="AC29" s="1"/>
    </row>
    <row r="30" spans="2:29" ht="57.6" x14ac:dyDescent="0.3">
      <c r="B30" s="8"/>
      <c r="C30" s="1" t="s">
        <v>38</v>
      </c>
      <c r="F30"/>
      <c r="G30" s="1" t="s">
        <v>4</v>
      </c>
      <c r="H30" s="1">
        <v>1.1499999999999999</v>
      </c>
      <c r="I30" s="1">
        <v>2.67</v>
      </c>
      <c r="J30">
        <f t="shared" si="3"/>
        <v>1.52</v>
      </c>
      <c r="K30" s="1"/>
      <c r="M30" s="1"/>
      <c r="P30" s="1" t="s">
        <v>4</v>
      </c>
      <c r="Q30" s="1">
        <v>0</v>
      </c>
      <c r="R30" s="1">
        <v>0</v>
      </c>
      <c r="S30">
        <f t="shared" si="4"/>
        <v>0</v>
      </c>
      <c r="W30"/>
      <c r="Y30" s="1" t="s">
        <v>4</v>
      </c>
      <c r="Z30" s="1">
        <v>0.4</v>
      </c>
      <c r="AA30" s="1">
        <v>2</v>
      </c>
      <c r="AB30">
        <f t="shared" si="5"/>
        <v>1.6</v>
      </c>
      <c r="AC30" s="1"/>
    </row>
    <row r="31" spans="2:29" ht="28.8" x14ac:dyDescent="0.3">
      <c r="B31" s="8" t="s">
        <v>45</v>
      </c>
      <c r="C31" s="1" t="s">
        <v>44</v>
      </c>
      <c r="F31"/>
      <c r="G31" s="1" t="s">
        <v>7</v>
      </c>
      <c r="H31" s="1">
        <f>SUM(0.57, 10.34)</f>
        <v>10.91</v>
      </c>
      <c r="I31" s="1">
        <v>8</v>
      </c>
      <c r="J31">
        <f t="shared" si="3"/>
        <v>-2.91</v>
      </c>
      <c r="K31" s="1"/>
      <c r="M31" s="1"/>
      <c r="P31" s="1" t="s">
        <v>7</v>
      </c>
      <c r="Q31" s="1">
        <f>SUM(13.92, 5.06)</f>
        <v>18.98</v>
      </c>
      <c r="R31" s="1">
        <f>SUM(4.55, 4.55)</f>
        <v>9.1</v>
      </c>
      <c r="S31">
        <f t="shared" si="4"/>
        <v>-9.8800000000000008</v>
      </c>
      <c r="W31"/>
      <c r="Y31" s="1" t="s">
        <v>7</v>
      </c>
      <c r="Z31" s="1">
        <f>SUM(10.4, 1.6)</f>
        <v>12</v>
      </c>
      <c r="AA31" s="1">
        <f>SUM(20, 2)</f>
        <v>22</v>
      </c>
      <c r="AB31">
        <f t="shared" si="5"/>
        <v>10</v>
      </c>
      <c r="AC31" s="1"/>
    </row>
    <row r="32" spans="2:29" ht="28.8" x14ac:dyDescent="0.3">
      <c r="B32" s="8"/>
      <c r="C32" s="1" t="s">
        <v>39</v>
      </c>
      <c r="F32"/>
      <c r="G32" s="1" t="s">
        <v>6</v>
      </c>
      <c r="H32" s="1">
        <v>8.0500000000000007</v>
      </c>
      <c r="I32" s="1">
        <v>5.33</v>
      </c>
      <c r="J32">
        <f t="shared" si="3"/>
        <v>-2.7200000000000006</v>
      </c>
      <c r="K32" s="1"/>
      <c r="M32" s="1"/>
      <c r="P32" s="1" t="s">
        <v>6</v>
      </c>
      <c r="Q32" s="1">
        <v>16.46</v>
      </c>
      <c r="R32" s="1">
        <v>27.27</v>
      </c>
      <c r="S32">
        <f t="shared" si="4"/>
        <v>10.809999999999999</v>
      </c>
      <c r="W32"/>
      <c r="Y32" s="1" t="s">
        <v>6</v>
      </c>
      <c r="Z32" s="1">
        <v>9.1999999999999993</v>
      </c>
      <c r="AA32" s="1">
        <v>4</v>
      </c>
      <c r="AB32">
        <f t="shared" si="5"/>
        <v>-5.1999999999999993</v>
      </c>
      <c r="AC32" s="1"/>
    </row>
    <row r="33" spans="2:30" ht="28.8" x14ac:dyDescent="0.3">
      <c r="B33" s="8"/>
      <c r="C33" s="1" t="s">
        <v>40</v>
      </c>
      <c r="F33"/>
      <c r="G33" s="1" t="s">
        <v>3</v>
      </c>
      <c r="H33" s="1">
        <f>SUM(6.32, 2.87, 1.15)</f>
        <v>10.340000000000002</v>
      </c>
      <c r="I33" s="1">
        <f>SUM(5.33, 1.33)</f>
        <v>6.66</v>
      </c>
      <c r="J33">
        <f t="shared" si="3"/>
        <v>-3.6800000000000015</v>
      </c>
      <c r="K33" s="1"/>
      <c r="M33" s="1"/>
      <c r="P33" s="1" t="s">
        <v>3</v>
      </c>
      <c r="Q33" s="1">
        <f>SUM(6.33, 2.53)</f>
        <v>8.86</v>
      </c>
      <c r="R33" s="1">
        <f>SUM(4.55)</f>
        <v>4.55</v>
      </c>
      <c r="S33">
        <f t="shared" si="4"/>
        <v>-4.3099999999999996</v>
      </c>
      <c r="W33"/>
      <c r="Y33" s="1" t="s">
        <v>3</v>
      </c>
      <c r="Z33" s="1">
        <f>SUM(7.6, 4, 2.8)</f>
        <v>14.399999999999999</v>
      </c>
      <c r="AA33" s="1">
        <f>SUM(10, 4, 2)</f>
        <v>16</v>
      </c>
      <c r="AB33">
        <f t="shared" si="5"/>
        <v>1.6000000000000014</v>
      </c>
      <c r="AC33" s="1"/>
    </row>
    <row r="34" spans="2:30" ht="43.2" x14ac:dyDescent="0.3">
      <c r="B34" s="8"/>
      <c r="C34" s="1" t="s">
        <v>41</v>
      </c>
      <c r="F34"/>
      <c r="G34" s="1" t="s">
        <v>1</v>
      </c>
      <c r="H34" s="1">
        <v>9.1999999999999993</v>
      </c>
      <c r="I34" s="1">
        <v>2.67</v>
      </c>
      <c r="J34">
        <f t="shared" si="3"/>
        <v>-6.5299999999999994</v>
      </c>
      <c r="K34" s="1"/>
      <c r="M34" s="1"/>
      <c r="P34" s="1" t="s">
        <v>1</v>
      </c>
      <c r="Q34" s="1">
        <v>5.0599999999999996</v>
      </c>
      <c r="R34" s="1">
        <v>4.55</v>
      </c>
      <c r="S34">
        <f t="shared" si="4"/>
        <v>-0.50999999999999979</v>
      </c>
      <c r="W34"/>
      <c r="Y34" s="1" t="s">
        <v>1</v>
      </c>
      <c r="Z34" s="1">
        <v>14.8</v>
      </c>
      <c r="AA34" s="1">
        <v>14</v>
      </c>
      <c r="AB34">
        <f t="shared" si="5"/>
        <v>-0.80000000000000071</v>
      </c>
      <c r="AC34" s="1"/>
    </row>
    <row r="35" spans="2:30" ht="28.8" x14ac:dyDescent="0.3">
      <c r="B35" s="8"/>
      <c r="C35" s="1" t="s">
        <v>42</v>
      </c>
      <c r="F35"/>
      <c r="G35" s="1" t="s">
        <v>5</v>
      </c>
      <c r="H35" s="1">
        <f>SUM(22.41, 7.47, 6.32, 4.6, 1.72, 1.72, 1.15)</f>
        <v>45.39</v>
      </c>
      <c r="I35" s="1">
        <f>SUM(25.33, 8, 4, 4, 1.33)</f>
        <v>42.66</v>
      </c>
      <c r="J35">
        <f t="shared" si="3"/>
        <v>-2.730000000000004</v>
      </c>
      <c r="K35" s="1"/>
      <c r="M35" s="1"/>
      <c r="P35" s="1" t="s">
        <v>5</v>
      </c>
      <c r="Q35" s="1">
        <f>SUM(17.72, 11.39, 10.13, 5.06, 2.53, 1.27, 1.27)</f>
        <v>49.370000000000012</v>
      </c>
      <c r="R35" s="1">
        <f>SUM(13.64, 13.64, 9.09, 4.55, 4.55)</f>
        <v>45.47</v>
      </c>
      <c r="S35">
        <f t="shared" si="4"/>
        <v>-3.9000000000000128</v>
      </c>
      <c r="W35"/>
      <c r="Y35" s="1" t="s">
        <v>5</v>
      </c>
      <c r="Z35" s="1">
        <f>SUM(15.2, 12.8, 6.8, 6.4, 2.8, 2.4, 2)</f>
        <v>48.399999999999991</v>
      </c>
      <c r="AA35" s="1">
        <f>SUM(16, 8, 8, 4, 4)</f>
        <v>40</v>
      </c>
      <c r="AB35">
        <f t="shared" si="5"/>
        <v>-8.3999999999999915</v>
      </c>
      <c r="AC35" s="1"/>
    </row>
    <row r="36" spans="2:30" ht="43.2" x14ac:dyDescent="0.3">
      <c r="B36" s="8"/>
      <c r="C36" s="1" t="s">
        <v>43</v>
      </c>
      <c r="E36" s="1"/>
      <c r="F36"/>
      <c r="H36" s="10" t="s">
        <v>57</v>
      </c>
      <c r="I36" s="10"/>
      <c r="L36"/>
      <c r="M36" s="1"/>
      <c r="R36" s="1" t="s">
        <v>56</v>
      </c>
      <c r="S36"/>
      <c r="X36" s="1"/>
    </row>
    <row r="37" spans="2:30" ht="201.6" x14ac:dyDescent="0.3">
      <c r="B37" s="8" t="s">
        <v>7</v>
      </c>
      <c r="C37" s="1" t="s">
        <v>52</v>
      </c>
      <c r="E37" s="7" t="s">
        <v>55</v>
      </c>
      <c r="F37" s="7"/>
      <c r="G37" s="1" t="s">
        <v>26</v>
      </c>
      <c r="H37" s="1" t="s">
        <v>25</v>
      </c>
      <c r="I37" t="s">
        <v>27</v>
      </c>
      <c r="J37" s="1"/>
      <c r="K37" s="1"/>
      <c r="L37"/>
      <c r="M37" s="7" t="s">
        <v>59</v>
      </c>
      <c r="N37" s="7"/>
      <c r="O37" s="7"/>
      <c r="P37" s="1" t="s">
        <v>26</v>
      </c>
      <c r="Q37" s="1" t="s">
        <v>25</v>
      </c>
      <c r="R37" t="s">
        <v>27</v>
      </c>
      <c r="V37" s="7" t="s">
        <v>61</v>
      </c>
      <c r="W37" s="7"/>
      <c r="X37" s="7"/>
      <c r="Y37" s="1" t="s">
        <v>26</v>
      </c>
      <c r="Z37" s="1" t="s">
        <v>25</v>
      </c>
      <c r="AA37" t="s">
        <v>27</v>
      </c>
      <c r="AB37" s="1"/>
      <c r="AC37" s="1"/>
    </row>
    <row r="38" spans="2:30" ht="57.6" customHeight="1" x14ac:dyDescent="0.3">
      <c r="B38" s="8"/>
      <c r="C38" s="1" t="s">
        <v>51</v>
      </c>
      <c r="F38" s="1" t="s">
        <v>2</v>
      </c>
      <c r="G38" s="1">
        <v>3.77</v>
      </c>
      <c r="H38" s="1">
        <v>16.670000000000002</v>
      </c>
      <c r="I38">
        <f t="shared" ref="I38:I44" si="6">H38-G38</f>
        <v>12.900000000000002</v>
      </c>
      <c r="J38" s="1"/>
      <c r="K38" s="1"/>
      <c r="L38"/>
      <c r="O38" s="1" t="s">
        <v>2</v>
      </c>
      <c r="P38" s="1">
        <v>0.8</v>
      </c>
      <c r="Q38" s="1">
        <v>3.7</v>
      </c>
      <c r="R38">
        <f t="shared" ref="R38:R44" si="7">Q38-P38</f>
        <v>2.9000000000000004</v>
      </c>
      <c r="V38"/>
      <c r="W38"/>
      <c r="X38" s="1" t="s">
        <v>2</v>
      </c>
      <c r="Y38" s="1">
        <v>0.97</v>
      </c>
      <c r="Z38" s="1">
        <v>2.27</v>
      </c>
      <c r="AA38">
        <f t="shared" ref="AA38:AA44" si="8">Z38-Y38</f>
        <v>1.3</v>
      </c>
      <c r="AB38" s="1"/>
      <c r="AC38" s="1"/>
    </row>
    <row r="39" spans="2:30" ht="43.2" customHeight="1" x14ac:dyDescent="0.3">
      <c r="B39" s="5" t="s">
        <v>47</v>
      </c>
      <c r="C39" s="1" t="s">
        <v>46</v>
      </c>
      <c r="F39" s="1" t="s">
        <v>4</v>
      </c>
      <c r="G39" s="1">
        <v>1.89</v>
      </c>
      <c r="H39" s="1">
        <v>5.56</v>
      </c>
      <c r="I39">
        <f t="shared" si="6"/>
        <v>3.67</v>
      </c>
      <c r="J39" s="1"/>
      <c r="K39" s="1"/>
      <c r="L39"/>
      <c r="O39" s="1" t="s">
        <v>4</v>
      </c>
      <c r="P39" s="1">
        <v>0.4</v>
      </c>
      <c r="Q39" s="1">
        <v>1.85</v>
      </c>
      <c r="R39">
        <f t="shared" si="7"/>
        <v>1.4500000000000002</v>
      </c>
      <c r="V39"/>
      <c r="W39"/>
      <c r="X39" s="1" t="s">
        <v>4</v>
      </c>
      <c r="Y39" s="1">
        <v>0.48</v>
      </c>
      <c r="Z39" s="1">
        <v>2.27</v>
      </c>
      <c r="AA39">
        <f t="shared" si="8"/>
        <v>1.79</v>
      </c>
      <c r="AB39" s="1"/>
      <c r="AC39" s="1"/>
    </row>
    <row r="40" spans="2:30" ht="44.4" customHeight="1" x14ac:dyDescent="0.3">
      <c r="B40" s="5" t="s">
        <v>50</v>
      </c>
      <c r="C40" s="1" t="s">
        <v>49</v>
      </c>
      <c r="F40" s="1" t="s">
        <v>7</v>
      </c>
      <c r="G40" s="1">
        <f>SUM(1.89, 9.43)</f>
        <v>11.32</v>
      </c>
      <c r="H40" s="1">
        <v>0</v>
      </c>
      <c r="I40">
        <f t="shared" si="6"/>
        <v>-11.32</v>
      </c>
      <c r="J40" s="1"/>
      <c r="K40" s="1"/>
      <c r="L40"/>
      <c r="O40" s="1" t="s">
        <v>7</v>
      </c>
      <c r="P40" s="1">
        <f>SUM(2.8, 12.8)</f>
        <v>15.600000000000001</v>
      </c>
      <c r="Q40" s="1">
        <f>SUM(18.52, 3.7)</f>
        <v>22.22</v>
      </c>
      <c r="R40">
        <f t="shared" si="7"/>
        <v>6.6199999999999974</v>
      </c>
      <c r="V40"/>
      <c r="W40"/>
      <c r="X40" s="1" t="s">
        <v>7</v>
      </c>
      <c r="Y40" s="1">
        <f>SUM(1.45, 11.11)</f>
        <v>12.559999999999999</v>
      </c>
      <c r="Z40" s="1">
        <f>SUM(15.91, 2.27)</f>
        <v>18.18</v>
      </c>
      <c r="AA40">
        <f t="shared" si="8"/>
        <v>5.620000000000001</v>
      </c>
      <c r="AB40" s="1"/>
      <c r="AC40" s="1"/>
    </row>
    <row r="41" spans="2:30" ht="43.2" x14ac:dyDescent="0.3">
      <c r="B41" s="1" t="s">
        <v>48</v>
      </c>
      <c r="C41" s="1" t="s">
        <v>48</v>
      </c>
      <c r="F41" s="1" t="s">
        <v>6</v>
      </c>
      <c r="G41" s="1">
        <v>11.32</v>
      </c>
      <c r="H41" s="1">
        <v>0</v>
      </c>
      <c r="I41">
        <f t="shared" si="6"/>
        <v>-11.32</v>
      </c>
      <c r="J41" s="1"/>
      <c r="K41" s="1"/>
      <c r="L41"/>
      <c r="O41" s="1" t="s">
        <v>6</v>
      </c>
      <c r="P41" s="1">
        <v>9.6</v>
      </c>
      <c r="Q41" s="1">
        <v>14.81</v>
      </c>
      <c r="R41">
        <f t="shared" si="7"/>
        <v>5.2100000000000009</v>
      </c>
      <c r="V41"/>
      <c r="W41"/>
      <c r="X41" s="1" t="s">
        <v>6</v>
      </c>
      <c r="Y41" s="1">
        <v>10.14</v>
      </c>
      <c r="Z41" s="1">
        <v>6.82</v>
      </c>
      <c r="AA41">
        <f t="shared" si="8"/>
        <v>-3.3200000000000003</v>
      </c>
      <c r="AB41" s="1"/>
      <c r="AC41" s="1"/>
    </row>
    <row r="42" spans="2:30" ht="28.8" x14ac:dyDescent="0.3">
      <c r="B42" s="1" t="s">
        <v>4</v>
      </c>
      <c r="C42" s="1" t="s">
        <v>4</v>
      </c>
      <c r="F42" s="1" t="s">
        <v>3</v>
      </c>
      <c r="G42" s="1">
        <f>SUM(5.66, 1.89, 1.89)</f>
        <v>9.44</v>
      </c>
      <c r="H42" s="1">
        <f>SUM(5.56, 5.56)</f>
        <v>11.12</v>
      </c>
      <c r="I42">
        <f t="shared" si="6"/>
        <v>1.6799999999999997</v>
      </c>
      <c r="J42" s="1"/>
      <c r="K42" s="1"/>
      <c r="L42"/>
      <c r="O42" s="1" t="s">
        <v>3</v>
      </c>
      <c r="P42" s="1">
        <f>SUM(7.6, 3.6, 3.2)</f>
        <v>14.399999999999999</v>
      </c>
      <c r="Q42" s="1">
        <f>SUM(5.56, 1.85)</f>
        <v>7.41</v>
      </c>
      <c r="R42">
        <f t="shared" si="7"/>
        <v>-6.9899999999999984</v>
      </c>
      <c r="V42"/>
      <c r="W42"/>
      <c r="X42" s="1" t="s">
        <v>3</v>
      </c>
      <c r="Y42" s="1">
        <f>SUM(7.25, 2.9, 2.9)</f>
        <v>13.05</v>
      </c>
      <c r="Z42" s="1">
        <f>SUM(6.82, 4.55)</f>
        <v>11.370000000000001</v>
      </c>
      <c r="AA42">
        <f t="shared" si="8"/>
        <v>-1.6799999999999997</v>
      </c>
      <c r="AB42" s="1"/>
      <c r="AC42" s="1"/>
    </row>
    <row r="43" spans="2:30" ht="43.2" x14ac:dyDescent="0.3">
      <c r="F43" s="1" t="s">
        <v>1</v>
      </c>
      <c r="G43" s="1">
        <v>13.21</v>
      </c>
      <c r="H43" s="1">
        <v>5.56</v>
      </c>
      <c r="I43">
        <f t="shared" si="6"/>
        <v>-7.6500000000000012</v>
      </c>
      <c r="J43" s="1"/>
      <c r="K43" s="1"/>
      <c r="L43"/>
      <c r="O43" s="1" t="s">
        <v>1</v>
      </c>
      <c r="P43" s="1">
        <v>11.2</v>
      </c>
      <c r="Q43" s="1">
        <v>11.11</v>
      </c>
      <c r="R43">
        <f t="shared" si="7"/>
        <v>-8.9999999999999858E-2</v>
      </c>
      <c r="V43"/>
      <c r="W43"/>
      <c r="X43" s="1" t="s">
        <v>1</v>
      </c>
      <c r="Y43" s="1">
        <v>13.53</v>
      </c>
      <c r="Z43" s="1">
        <v>9.09</v>
      </c>
      <c r="AA43">
        <f t="shared" si="8"/>
        <v>-4.4399999999999995</v>
      </c>
      <c r="AB43" s="1"/>
      <c r="AC43" s="1"/>
    </row>
    <row r="44" spans="2:30" ht="28.8" x14ac:dyDescent="0.3">
      <c r="F44" s="1" t="s">
        <v>5</v>
      </c>
      <c r="G44" s="1">
        <f>SUM(20.75, 13.21, 11.32, 1.89, 1.89)</f>
        <v>49.06</v>
      </c>
      <c r="H44" s="1">
        <f>SUM(22.22, 22.22, 5.56, 5.56, 5.56)</f>
        <v>61.120000000000005</v>
      </c>
      <c r="I44">
        <f t="shared" si="6"/>
        <v>12.060000000000002</v>
      </c>
      <c r="J44" s="1"/>
      <c r="K44" s="1"/>
      <c r="L44"/>
      <c r="O44" s="1" t="s">
        <v>5</v>
      </c>
      <c r="P44" s="1">
        <f>SUM(16.8, 10, 7.2, 4.8, 4, 2.8, 2.4)</f>
        <v>47.999999999999993</v>
      </c>
      <c r="Q44" s="1">
        <f>SUM(20.37, 9.26, 5.56, 1.85, 1.85)</f>
        <v>38.890000000000008</v>
      </c>
      <c r="R44">
        <f t="shared" si="7"/>
        <v>-9.1099999999999852</v>
      </c>
      <c r="V44"/>
      <c r="W44"/>
      <c r="X44" s="1" t="s">
        <v>5</v>
      </c>
      <c r="Y44" s="1">
        <f>SUM(16.91, 12.08, 6.28, 4.35, 3.86, 3.38, 2.42)</f>
        <v>49.280000000000008</v>
      </c>
      <c r="Z44" s="1">
        <f>SUM(29.55, 9.09, 6.82, 2.27, 2.27)</f>
        <v>50.000000000000007</v>
      </c>
      <c r="AA44">
        <f t="shared" si="8"/>
        <v>0.71999999999999886</v>
      </c>
      <c r="AB44" s="1"/>
      <c r="AC44" s="1"/>
    </row>
    <row r="45" spans="2:30" ht="46.8" customHeight="1" x14ac:dyDescent="0.3">
      <c r="E45" s="1"/>
      <c r="F45"/>
      <c r="G45" s="10" t="s">
        <v>58</v>
      </c>
      <c r="H45" s="10"/>
      <c r="I45" s="1"/>
      <c r="L45"/>
      <c r="M45" s="1"/>
      <c r="Q45" t="s">
        <v>60</v>
      </c>
      <c r="S45"/>
      <c r="X45" s="1"/>
      <c r="Y45" t="s">
        <v>58</v>
      </c>
    </row>
    <row r="46" spans="2:30" ht="201.6" x14ac:dyDescent="0.3">
      <c r="E46" s="7" t="s">
        <v>62</v>
      </c>
      <c r="F46" s="7"/>
      <c r="G46" s="7"/>
      <c r="H46" s="1" t="s">
        <v>26</v>
      </c>
      <c r="I46" s="1" t="s">
        <v>25</v>
      </c>
      <c r="J46" t="s">
        <v>27</v>
      </c>
      <c r="K46" s="1"/>
      <c r="M46" s="1"/>
      <c r="N46" s="7" t="s">
        <v>63</v>
      </c>
      <c r="O46" s="7"/>
      <c r="P46" s="7"/>
      <c r="Q46" s="1" t="s">
        <v>26</v>
      </c>
      <c r="R46" s="1" t="s">
        <v>25</v>
      </c>
      <c r="S46" t="s">
        <v>27</v>
      </c>
      <c r="W46" s="7" t="s">
        <v>64</v>
      </c>
      <c r="X46" s="7"/>
      <c r="Y46" s="7"/>
      <c r="Z46" s="1" t="s">
        <v>26</v>
      </c>
      <c r="AA46" s="1" t="s">
        <v>25</v>
      </c>
      <c r="AB46" t="s">
        <v>27</v>
      </c>
      <c r="AC46" s="1"/>
      <c r="AD46" s="1"/>
    </row>
    <row r="47" spans="2:30" ht="42.6" customHeight="1" x14ac:dyDescent="0.3">
      <c r="F47"/>
      <c r="G47" s="1" t="s">
        <v>2</v>
      </c>
      <c r="H47" s="1">
        <v>1.05</v>
      </c>
      <c r="I47" s="1">
        <v>7.14</v>
      </c>
      <c r="J47">
        <f t="shared" ref="J47:J53" si="9">I47-H47</f>
        <v>6.09</v>
      </c>
      <c r="K47" s="1"/>
      <c r="M47" s="1"/>
      <c r="P47" s="1" t="s">
        <v>2</v>
      </c>
      <c r="Q47" s="1">
        <v>19.05</v>
      </c>
      <c r="R47" s="1">
        <v>38.299999999999997</v>
      </c>
      <c r="S47">
        <f t="shared" ref="S47:S53" si="10">R47-Q47</f>
        <v>19.249999999999996</v>
      </c>
      <c r="W47"/>
      <c r="Y47" s="1" t="s">
        <v>2</v>
      </c>
      <c r="Z47" s="1">
        <v>13.5</v>
      </c>
      <c r="AA47" s="1">
        <v>29.51</v>
      </c>
      <c r="AB47">
        <f t="shared" ref="AB47:AB53" si="11">AA47-Z47</f>
        <v>16.010000000000002</v>
      </c>
      <c r="AC47" s="1"/>
      <c r="AD47" s="1"/>
    </row>
    <row r="48" spans="2:30" ht="34.200000000000003" customHeight="1" x14ac:dyDescent="0.3">
      <c r="F48"/>
      <c r="G48" s="1" t="s">
        <v>4</v>
      </c>
      <c r="H48" s="1">
        <v>0.53</v>
      </c>
      <c r="I48" s="1">
        <v>2.38</v>
      </c>
      <c r="J48">
        <f t="shared" si="9"/>
        <v>1.8499999999999999</v>
      </c>
      <c r="K48" s="1"/>
      <c r="P48" s="1" t="s">
        <v>4</v>
      </c>
      <c r="Q48" s="1">
        <v>0.95</v>
      </c>
      <c r="R48" s="1">
        <v>2.13</v>
      </c>
      <c r="S48">
        <f t="shared" si="10"/>
        <v>1.18</v>
      </c>
      <c r="W48"/>
      <c r="Y48" s="1" t="s">
        <v>4</v>
      </c>
      <c r="Z48" s="1">
        <v>0.61</v>
      </c>
      <c r="AA48" s="1">
        <v>3.28</v>
      </c>
      <c r="AB48">
        <f t="shared" si="11"/>
        <v>2.67</v>
      </c>
      <c r="AC48" s="1"/>
      <c r="AD48" s="1"/>
    </row>
    <row r="49" spans="5:30" ht="33" customHeight="1" x14ac:dyDescent="0.3">
      <c r="F49"/>
      <c r="G49" s="1" t="s">
        <v>7</v>
      </c>
      <c r="H49" s="1">
        <f>SUM(1.05, 11.05)</f>
        <v>12.100000000000001</v>
      </c>
      <c r="I49" s="1">
        <f>SUM(9.52)</f>
        <v>9.52</v>
      </c>
      <c r="J49">
        <f t="shared" si="9"/>
        <v>-2.5800000000000018</v>
      </c>
      <c r="K49" s="1"/>
      <c r="P49" s="1" t="s">
        <v>7</v>
      </c>
      <c r="Q49" s="1">
        <f>SUM(11.43)</f>
        <v>11.43</v>
      </c>
      <c r="R49" s="1">
        <f>SUM(6.38)</f>
        <v>6.38</v>
      </c>
      <c r="S49">
        <f t="shared" si="10"/>
        <v>-5.05</v>
      </c>
      <c r="W49"/>
      <c r="Y49" s="1" t="s">
        <v>7</v>
      </c>
      <c r="Z49" s="1">
        <f>SUM(1.84, 11.04)</f>
        <v>12.879999999999999</v>
      </c>
      <c r="AA49" s="1">
        <f>SUM(11.48)</f>
        <v>11.48</v>
      </c>
      <c r="AB49">
        <f t="shared" si="11"/>
        <v>-1.3999999999999986</v>
      </c>
      <c r="AC49" s="1"/>
      <c r="AD49" s="1"/>
    </row>
    <row r="50" spans="5:30" ht="32.4" customHeight="1" x14ac:dyDescent="0.3">
      <c r="F50"/>
      <c r="G50" s="1" t="s">
        <v>6</v>
      </c>
      <c r="H50" s="1">
        <v>13.16</v>
      </c>
      <c r="I50" s="1">
        <v>9.52</v>
      </c>
      <c r="J50">
        <f t="shared" si="9"/>
        <v>-3.6400000000000006</v>
      </c>
      <c r="K50" s="1"/>
      <c r="P50" s="1" t="s">
        <v>6</v>
      </c>
      <c r="Q50" s="1">
        <v>7.62</v>
      </c>
      <c r="R50" s="1">
        <v>4.26</v>
      </c>
      <c r="S50">
        <f t="shared" si="10"/>
        <v>-3.3600000000000003</v>
      </c>
      <c r="W50"/>
      <c r="Y50" s="1" t="s">
        <v>6</v>
      </c>
      <c r="Z50" s="1">
        <v>7.98</v>
      </c>
      <c r="AA50" s="1">
        <v>4.92</v>
      </c>
      <c r="AB50">
        <f t="shared" si="11"/>
        <v>-3.0600000000000005</v>
      </c>
      <c r="AC50" s="1"/>
      <c r="AD50" s="1"/>
    </row>
    <row r="51" spans="5:30" ht="31.8" customHeight="1" x14ac:dyDescent="0.3">
      <c r="F51"/>
      <c r="G51" s="1" t="s">
        <v>3</v>
      </c>
      <c r="H51" s="1">
        <f>SUM(7.37, 3.68, 1.58)</f>
        <v>12.63</v>
      </c>
      <c r="I51" s="1">
        <f>SUM(9.52, 4.76)</f>
        <v>14.28</v>
      </c>
      <c r="J51">
        <f t="shared" si="9"/>
        <v>1.6499999999999986</v>
      </c>
      <c r="K51" s="1"/>
      <c r="P51" s="1" t="s">
        <v>3</v>
      </c>
      <c r="Q51" s="1">
        <f>SUM(6.67, 1.9, 1.9)</f>
        <v>10.47</v>
      </c>
      <c r="R51" s="1">
        <f>SUM(6.38, 4.26)</f>
        <v>10.64</v>
      </c>
      <c r="S51">
        <f t="shared" si="10"/>
        <v>0.16999999999999993</v>
      </c>
      <c r="W51"/>
      <c r="Y51" s="1" t="s">
        <v>3</v>
      </c>
      <c r="Z51" s="1">
        <f>SUM(7.36, 1.23, 0.61)</f>
        <v>9.1999999999999993</v>
      </c>
      <c r="AA51" s="1">
        <f>SUM(4.92)</f>
        <v>4.92</v>
      </c>
      <c r="AB51">
        <f t="shared" si="11"/>
        <v>-4.2799999999999994</v>
      </c>
      <c r="AC51" s="1"/>
      <c r="AD51" s="1"/>
    </row>
    <row r="52" spans="5:30" ht="47.4" customHeight="1" x14ac:dyDescent="0.3">
      <c r="F52"/>
      <c r="G52" s="1" t="s">
        <v>1</v>
      </c>
      <c r="H52" s="1">
        <v>12.63</v>
      </c>
      <c r="I52" s="1">
        <v>11.9</v>
      </c>
      <c r="J52">
        <f t="shared" si="9"/>
        <v>-0.73000000000000043</v>
      </c>
      <c r="K52" s="1"/>
      <c r="P52" s="1" t="s">
        <v>1</v>
      </c>
      <c r="Q52" s="1">
        <v>7.62</v>
      </c>
      <c r="R52" s="1">
        <v>2.13</v>
      </c>
      <c r="S52">
        <f t="shared" si="10"/>
        <v>-5.49</v>
      </c>
      <c r="W52"/>
      <c r="Y52" s="1" t="s">
        <v>1</v>
      </c>
      <c r="Z52" s="1">
        <v>11.04</v>
      </c>
      <c r="AA52" s="1">
        <v>4.92</v>
      </c>
      <c r="AB52">
        <f t="shared" si="11"/>
        <v>-6.1199999999999992</v>
      </c>
      <c r="AC52" s="1"/>
      <c r="AD52" s="1"/>
    </row>
    <row r="53" spans="5:30" ht="34.799999999999997" customHeight="1" x14ac:dyDescent="0.3">
      <c r="F53"/>
      <c r="G53" s="1" t="s">
        <v>5</v>
      </c>
      <c r="H53" s="1">
        <f>SUM(15.79, 12.11, 6.84, 4.74, 3.68, 2.63, 2.11)</f>
        <v>47.9</v>
      </c>
      <c r="I53" s="1">
        <f>SUM(19.05, 11.9, 9.52, 4.76)</f>
        <v>45.23</v>
      </c>
      <c r="J53">
        <f t="shared" si="9"/>
        <v>-2.6700000000000017</v>
      </c>
      <c r="K53" s="1"/>
      <c r="P53" s="1" t="s">
        <v>5</v>
      </c>
      <c r="Q53" s="1">
        <f>SUM(18.1, 9.52, 6.67, 3.81, 2.86, 1.9)</f>
        <v>42.86</v>
      </c>
      <c r="R53" s="1">
        <f>SUM(17.02, 8.51, 4.26, 2.13, 2.13, 2.13)</f>
        <v>36.18</v>
      </c>
      <c r="S53">
        <f t="shared" si="10"/>
        <v>-6.68</v>
      </c>
      <c r="W53"/>
      <c r="Y53" s="1" t="s">
        <v>5</v>
      </c>
      <c r="Z53" s="1">
        <f>SUM(21.47, 9.2, 6.75, 2.45, 2.45, 1.84, 0.61)</f>
        <v>44.77000000000001</v>
      </c>
      <c r="AA53" s="1">
        <f>SUM(24.59, 9.84, 3.28, 1.64, 1.64)</f>
        <v>40.99</v>
      </c>
      <c r="AB53">
        <f t="shared" si="11"/>
        <v>-3.7800000000000082</v>
      </c>
      <c r="AC53" s="1"/>
      <c r="AD53" s="1"/>
    </row>
    <row r="54" spans="5:30" ht="55.8" customHeight="1" x14ac:dyDescent="0.3">
      <c r="I54" t="s">
        <v>60</v>
      </c>
      <c r="R54" t="s">
        <v>58</v>
      </c>
      <c r="AA54" t="s">
        <v>58</v>
      </c>
    </row>
    <row r="55" spans="5:30" ht="201.6" x14ac:dyDescent="0.3">
      <c r="E55" s="7" t="s">
        <v>65</v>
      </c>
      <c r="F55" s="7"/>
      <c r="G55" s="7"/>
      <c r="H55" s="1" t="s">
        <v>26</v>
      </c>
      <c r="I55" s="1" t="s">
        <v>25</v>
      </c>
      <c r="J55" t="s">
        <v>27</v>
      </c>
      <c r="K55" s="1"/>
      <c r="N55" s="7" t="s">
        <v>66</v>
      </c>
      <c r="O55" s="7"/>
      <c r="P55" s="7"/>
      <c r="Q55" s="1" t="s">
        <v>26</v>
      </c>
      <c r="R55" s="1" t="s">
        <v>25</v>
      </c>
      <c r="S55" t="s">
        <v>27</v>
      </c>
      <c r="W55" s="7" t="s">
        <v>67</v>
      </c>
      <c r="X55" s="7"/>
      <c r="Y55" s="7"/>
      <c r="Z55" s="1" t="s">
        <v>26</v>
      </c>
      <c r="AA55" s="1" t="s">
        <v>25</v>
      </c>
      <c r="AB55" t="s">
        <v>27</v>
      </c>
      <c r="AC55" s="1"/>
      <c r="AD55" s="1"/>
    </row>
    <row r="56" spans="5:30" ht="43.2" x14ac:dyDescent="0.3">
      <c r="F56"/>
      <c r="G56" s="1" t="s">
        <v>2</v>
      </c>
      <c r="H56" s="1">
        <v>1.39</v>
      </c>
      <c r="I56" s="1">
        <v>8.82</v>
      </c>
      <c r="J56">
        <f t="shared" ref="J56:J62" si="12">I56-H56</f>
        <v>7.4300000000000006</v>
      </c>
      <c r="K56" s="1"/>
      <c r="P56" s="1" t="s">
        <v>2</v>
      </c>
      <c r="Q56" s="1">
        <v>1.69</v>
      </c>
      <c r="R56" s="1">
        <v>6.67</v>
      </c>
      <c r="S56">
        <f t="shared" ref="S56:S62" si="13">R56-Q56</f>
        <v>4.9800000000000004</v>
      </c>
      <c r="W56"/>
      <c r="Y56" s="1" t="s">
        <v>2</v>
      </c>
      <c r="Z56" s="1">
        <v>9.52</v>
      </c>
      <c r="AA56" s="1">
        <v>25</v>
      </c>
      <c r="AB56">
        <f t="shared" ref="AB56:AB62" si="14">AA56-Z56</f>
        <v>15.48</v>
      </c>
      <c r="AC56" s="1"/>
      <c r="AD56" s="1"/>
    </row>
    <row r="57" spans="5:30" ht="34.200000000000003" customHeight="1" x14ac:dyDescent="0.3">
      <c r="F57"/>
      <c r="G57" s="1" t="s">
        <v>4</v>
      </c>
      <c r="H57" s="1">
        <v>0</v>
      </c>
      <c r="I57" s="1">
        <v>0</v>
      </c>
      <c r="J57">
        <f t="shared" si="12"/>
        <v>0</v>
      </c>
      <c r="K57" s="1"/>
      <c r="P57" s="1" t="s">
        <v>4</v>
      </c>
      <c r="Q57" s="1">
        <v>0</v>
      </c>
      <c r="R57" s="1">
        <v>0</v>
      </c>
      <c r="S57">
        <f t="shared" si="13"/>
        <v>0</v>
      </c>
      <c r="W57"/>
      <c r="Y57" s="1" t="s">
        <v>4</v>
      </c>
      <c r="Z57" s="1">
        <v>2.38</v>
      </c>
      <c r="AA57" s="1">
        <v>8.33</v>
      </c>
      <c r="AB57">
        <f t="shared" si="14"/>
        <v>5.95</v>
      </c>
      <c r="AC57" s="1"/>
      <c r="AD57" s="1"/>
    </row>
    <row r="58" spans="5:30" ht="28.8" x14ac:dyDescent="0.3">
      <c r="F58"/>
      <c r="G58" s="1" t="s">
        <v>7</v>
      </c>
      <c r="H58" s="1">
        <f>SUM(2.08, 11.11)</f>
        <v>13.19</v>
      </c>
      <c r="I58" s="1">
        <f>SUM(2.94, 2.94)</f>
        <v>5.88</v>
      </c>
      <c r="J58">
        <f t="shared" si="12"/>
        <v>-7.31</v>
      </c>
      <c r="K58" s="1"/>
      <c r="P58" s="1" t="s">
        <v>7</v>
      </c>
      <c r="Q58" s="1">
        <f>SUM(12.71, 1.69)</f>
        <v>14.4</v>
      </c>
      <c r="R58" s="1">
        <f>SUM(13.33)</f>
        <v>13.33</v>
      </c>
      <c r="S58">
        <f t="shared" si="13"/>
        <v>-1.0700000000000003</v>
      </c>
      <c r="W58"/>
      <c r="Y58" s="1" t="s">
        <v>7</v>
      </c>
      <c r="Z58" s="1">
        <f>SUM(1.19, 9.52)</f>
        <v>10.709999999999999</v>
      </c>
      <c r="AA58" s="1">
        <f>SUM(4.17)</f>
        <v>4.17</v>
      </c>
      <c r="AB58">
        <f t="shared" si="14"/>
        <v>-6.5399999999999991</v>
      </c>
      <c r="AC58" s="1"/>
      <c r="AD58" s="1"/>
    </row>
    <row r="59" spans="5:30" ht="28.8" x14ac:dyDescent="0.3">
      <c r="F59"/>
      <c r="G59" s="1" t="s">
        <v>6</v>
      </c>
      <c r="H59" s="1">
        <v>12.5</v>
      </c>
      <c r="I59" s="1">
        <v>14.71</v>
      </c>
      <c r="J59">
        <f t="shared" si="12"/>
        <v>2.2100000000000009</v>
      </c>
      <c r="K59" s="1"/>
      <c r="P59" s="1" t="s">
        <v>6</v>
      </c>
      <c r="Q59" s="1">
        <v>11.02</v>
      </c>
      <c r="R59" s="1">
        <v>6.67</v>
      </c>
      <c r="S59">
        <f t="shared" si="13"/>
        <v>-4.3499999999999996</v>
      </c>
      <c r="W59"/>
      <c r="Y59" s="1" t="s">
        <v>6</v>
      </c>
      <c r="Z59" s="1">
        <v>7.14</v>
      </c>
      <c r="AA59" s="1">
        <v>0</v>
      </c>
      <c r="AB59">
        <f t="shared" si="14"/>
        <v>-7.14</v>
      </c>
      <c r="AC59" s="1"/>
      <c r="AD59" s="1"/>
    </row>
    <row r="60" spans="5:30" ht="28.8" x14ac:dyDescent="0.3">
      <c r="F60"/>
      <c r="G60" s="1" t="s">
        <v>3</v>
      </c>
      <c r="H60" s="1">
        <f>SUM(6.25, 2.78, 1.39)</f>
        <v>10.42</v>
      </c>
      <c r="I60" s="1">
        <f>SUM(5.88)</f>
        <v>5.88</v>
      </c>
      <c r="J60">
        <f t="shared" si="12"/>
        <v>-4.54</v>
      </c>
      <c r="K60" s="1"/>
      <c r="P60" s="1" t="s">
        <v>3</v>
      </c>
      <c r="Q60" s="1">
        <f>SUM(7.63, 1.69, 1.69)</f>
        <v>11.01</v>
      </c>
      <c r="R60" s="1">
        <v>6.67</v>
      </c>
      <c r="S60">
        <f t="shared" si="13"/>
        <v>-4.34</v>
      </c>
      <c r="W60"/>
      <c r="Y60" s="1" t="s">
        <v>3</v>
      </c>
      <c r="Z60" s="1">
        <f>SUM(7.14, 2.38, 1.19)</f>
        <v>10.709999999999999</v>
      </c>
      <c r="AA60" s="1">
        <f>SUM(4.17, 4.17)</f>
        <v>8.34</v>
      </c>
      <c r="AB60">
        <f t="shared" si="14"/>
        <v>-2.3699999999999992</v>
      </c>
      <c r="AC60" s="1"/>
      <c r="AD60" s="1"/>
    </row>
    <row r="61" spans="5:30" ht="43.2" x14ac:dyDescent="0.3">
      <c r="F61"/>
      <c r="G61" s="1" t="s">
        <v>1</v>
      </c>
      <c r="H61" s="1">
        <v>13.19</v>
      </c>
      <c r="I61" s="1">
        <v>8.82</v>
      </c>
      <c r="J61">
        <f t="shared" si="12"/>
        <v>-4.3699999999999992</v>
      </c>
      <c r="K61" s="1"/>
      <c r="P61" s="1" t="s">
        <v>1</v>
      </c>
      <c r="Q61" s="1">
        <v>12.71</v>
      </c>
      <c r="R61" s="1">
        <v>10</v>
      </c>
      <c r="S61">
        <f t="shared" si="13"/>
        <v>-2.7100000000000009</v>
      </c>
      <c r="W61"/>
      <c r="Y61" s="1" t="s">
        <v>1</v>
      </c>
      <c r="Z61" s="1">
        <v>9.52</v>
      </c>
      <c r="AA61" s="1">
        <v>4.17</v>
      </c>
      <c r="AB61">
        <f t="shared" si="14"/>
        <v>-5.35</v>
      </c>
      <c r="AC61" s="1"/>
      <c r="AD61" s="1"/>
    </row>
    <row r="62" spans="5:30" ht="28.8" x14ac:dyDescent="0.3">
      <c r="F62"/>
      <c r="G62" s="1" t="s">
        <v>5</v>
      </c>
      <c r="H62" s="1">
        <f>SUM(18.75, 11.81, 9.03, 4.17, 2.08, 2.08, 1.39)</f>
        <v>49.31</v>
      </c>
      <c r="I62" s="1">
        <f>SUM(23.53, 17.65, 11.76, 2.94)</f>
        <v>55.879999999999995</v>
      </c>
      <c r="J62">
        <f t="shared" si="12"/>
        <v>6.5699999999999932</v>
      </c>
      <c r="K62" s="1"/>
      <c r="P62" s="1" t="s">
        <v>5</v>
      </c>
      <c r="Q62" s="1">
        <f>SUM(18.64, 12.71, 11.02, 3.39, 1.69, 1.69)</f>
        <v>49.14</v>
      </c>
      <c r="R62" s="1">
        <f>SUM(23.33, 23.33, 10)</f>
        <v>56.66</v>
      </c>
      <c r="S62">
        <f t="shared" si="13"/>
        <v>7.519999999999996</v>
      </c>
      <c r="W62"/>
      <c r="Y62" s="1" t="s">
        <v>5</v>
      </c>
      <c r="Z62" s="1">
        <f>SUM(16.67, 10.71, 7.14, 5.95, 5.95, 2.38, 1.19)</f>
        <v>49.990000000000009</v>
      </c>
      <c r="AA62" s="1">
        <f>SUM(33.33, 12.5, 4.17)</f>
        <v>50</v>
      </c>
      <c r="AB62">
        <f t="shared" si="14"/>
        <v>9.9999999999909051E-3</v>
      </c>
      <c r="AC62" s="1"/>
      <c r="AD62" s="1"/>
    </row>
    <row r="63" spans="5:30" ht="52.8" customHeight="1" x14ac:dyDescent="0.3">
      <c r="I63" t="s">
        <v>60</v>
      </c>
      <c r="Q63" t="s">
        <v>60</v>
      </c>
      <c r="Z63" t="s">
        <v>60</v>
      </c>
      <c r="AA63" t="s">
        <v>58</v>
      </c>
    </row>
    <row r="64" spans="5:30" ht="201.6" x14ac:dyDescent="0.3">
      <c r="E64" s="7" t="s">
        <v>68</v>
      </c>
      <c r="F64" s="7"/>
      <c r="G64" s="7"/>
      <c r="H64" s="1" t="s">
        <v>26</v>
      </c>
      <c r="I64" s="1" t="s">
        <v>25</v>
      </c>
      <c r="J64" t="s">
        <v>27</v>
      </c>
      <c r="K64" s="1"/>
      <c r="N64" s="7" t="s">
        <v>69</v>
      </c>
      <c r="O64" s="7"/>
      <c r="P64" s="7"/>
      <c r="Q64" s="1" t="s">
        <v>26</v>
      </c>
      <c r="R64" s="1" t="s">
        <v>25</v>
      </c>
      <c r="S64" t="s">
        <v>27</v>
      </c>
      <c r="W64" s="7" t="s">
        <v>70</v>
      </c>
      <c r="X64" s="7"/>
      <c r="Y64" s="7"/>
      <c r="Z64" s="1" t="s">
        <v>26</v>
      </c>
      <c r="AA64" s="1" t="s">
        <v>25</v>
      </c>
      <c r="AB64" t="s">
        <v>27</v>
      </c>
      <c r="AC64" s="1"/>
      <c r="AD64" s="1"/>
    </row>
    <row r="65" spans="5:30" ht="43.2" x14ac:dyDescent="0.3">
      <c r="F65"/>
      <c r="G65" s="1" t="s">
        <v>2</v>
      </c>
      <c r="H65" s="1">
        <v>0</v>
      </c>
      <c r="I65" s="1">
        <v>0</v>
      </c>
      <c r="J65">
        <f t="shared" ref="J65:J71" si="15">I65-H65</f>
        <v>0</v>
      </c>
      <c r="K65" s="1"/>
      <c r="P65" s="1" t="s">
        <v>2</v>
      </c>
      <c r="Q65" s="1">
        <v>4.84</v>
      </c>
      <c r="R65" s="1">
        <v>17.649999999999999</v>
      </c>
      <c r="S65">
        <f t="shared" ref="S65:S71" si="16">R65-Q65</f>
        <v>12.809999999999999</v>
      </c>
      <c r="W65"/>
      <c r="Y65" s="1" t="s">
        <v>2</v>
      </c>
      <c r="Z65" s="1">
        <v>7.98</v>
      </c>
      <c r="AA65" s="1">
        <v>28.3</v>
      </c>
      <c r="AB65">
        <f t="shared" ref="AB65:AB71" si="17">AA65-Z65</f>
        <v>20.32</v>
      </c>
      <c r="AC65" s="1"/>
      <c r="AD65" s="1"/>
    </row>
    <row r="66" spans="5:30" ht="33" customHeight="1" x14ac:dyDescent="0.3">
      <c r="F66"/>
      <c r="G66" s="1" t="s">
        <v>4</v>
      </c>
      <c r="H66" s="1">
        <v>0</v>
      </c>
      <c r="I66" s="1">
        <v>0</v>
      </c>
      <c r="J66">
        <f t="shared" si="15"/>
        <v>0</v>
      </c>
      <c r="K66" s="1"/>
      <c r="P66" s="1" t="s">
        <v>4</v>
      </c>
      <c r="Q66" s="1">
        <v>0</v>
      </c>
      <c r="R66" s="1">
        <v>0</v>
      </c>
      <c r="S66">
        <f t="shared" si="16"/>
        <v>0</v>
      </c>
      <c r="W66"/>
      <c r="Y66" s="1" t="s">
        <v>4</v>
      </c>
      <c r="Z66" s="1">
        <v>0.53</v>
      </c>
      <c r="AA66" s="1">
        <v>1.89</v>
      </c>
      <c r="AB66">
        <f t="shared" si="17"/>
        <v>1.3599999999999999</v>
      </c>
      <c r="AC66" s="1"/>
      <c r="AD66" s="1"/>
    </row>
    <row r="67" spans="5:30" ht="28.8" x14ac:dyDescent="0.3">
      <c r="F67"/>
      <c r="G67" s="1" t="s">
        <v>7</v>
      </c>
      <c r="H67" s="1">
        <f>SUM(2.86, 12.86)</f>
        <v>15.719999999999999</v>
      </c>
      <c r="I67" s="1">
        <f>SUM(18.75)</f>
        <v>18.75</v>
      </c>
      <c r="J67">
        <f t="shared" si="15"/>
        <v>3.0300000000000011</v>
      </c>
      <c r="K67" s="1"/>
      <c r="P67" s="1" t="s">
        <v>7</v>
      </c>
      <c r="Q67" s="1">
        <f>SUM(11.29, 1.61)</f>
        <v>12.899999999999999</v>
      </c>
      <c r="R67" s="1">
        <f>SUM(5.88)</f>
        <v>5.88</v>
      </c>
      <c r="S67">
        <f t="shared" si="16"/>
        <v>-7.0199999999999987</v>
      </c>
      <c r="W67"/>
      <c r="Y67" s="1" t="s">
        <v>7</v>
      </c>
      <c r="Z67" s="1">
        <f>SUM(11.7, 2.13)</f>
        <v>13.829999999999998</v>
      </c>
      <c r="AA67" s="1">
        <f>SUM(9.43)</f>
        <v>9.43</v>
      </c>
      <c r="AB67">
        <f t="shared" si="17"/>
        <v>-4.3999999999999986</v>
      </c>
      <c r="AC67" s="1"/>
      <c r="AD67" s="1"/>
    </row>
    <row r="68" spans="5:30" ht="28.8" x14ac:dyDescent="0.3">
      <c r="F68"/>
      <c r="G68" s="1" t="s">
        <v>6</v>
      </c>
      <c r="H68" s="1">
        <v>11.43</v>
      </c>
      <c r="I68" s="1">
        <v>0</v>
      </c>
      <c r="J68">
        <f t="shared" si="15"/>
        <v>-11.43</v>
      </c>
      <c r="K68" s="1"/>
      <c r="P68" s="1" t="s">
        <v>6</v>
      </c>
      <c r="Q68" s="1">
        <v>9.68</v>
      </c>
      <c r="R68" s="1">
        <v>0</v>
      </c>
      <c r="S68">
        <f t="shared" si="16"/>
        <v>-9.68</v>
      </c>
      <c r="W68"/>
      <c r="Y68" s="1" t="s">
        <v>6</v>
      </c>
      <c r="Z68" s="1">
        <v>7.98</v>
      </c>
      <c r="AA68" s="1">
        <v>5.66</v>
      </c>
      <c r="AB68">
        <f t="shared" si="17"/>
        <v>-2.3200000000000003</v>
      </c>
      <c r="AC68" s="1"/>
      <c r="AD68" s="1"/>
    </row>
    <row r="69" spans="5:30" ht="28.8" x14ac:dyDescent="0.3">
      <c r="F69"/>
      <c r="G69" s="1" t="s">
        <v>3</v>
      </c>
      <c r="H69" s="1">
        <f>SUM(8.57, 1.43, 1.43)</f>
        <v>11.43</v>
      </c>
      <c r="I69" s="1">
        <f>SUM(6.25)</f>
        <v>6.25</v>
      </c>
      <c r="J69">
        <f t="shared" si="15"/>
        <v>-5.18</v>
      </c>
      <c r="K69" s="1"/>
      <c r="P69" s="1" t="s">
        <v>3</v>
      </c>
      <c r="Q69" s="1">
        <f>SUM(6.45, 1.61)</f>
        <v>8.06</v>
      </c>
      <c r="R69" s="1">
        <f>SUM(5.88)</f>
        <v>5.88</v>
      </c>
      <c r="S69">
        <f t="shared" si="16"/>
        <v>-2.1800000000000006</v>
      </c>
      <c r="W69"/>
      <c r="Y69" s="1" t="s">
        <v>3</v>
      </c>
      <c r="Z69" s="1">
        <f>SUM(8.51, 3.72, 1.6)</f>
        <v>13.83</v>
      </c>
      <c r="AA69" s="1">
        <f>SUM(7.55, 1.89, 1.89)</f>
        <v>11.33</v>
      </c>
      <c r="AB69">
        <f t="shared" si="17"/>
        <v>-2.5</v>
      </c>
      <c r="AC69" s="1"/>
      <c r="AD69" s="1"/>
    </row>
    <row r="70" spans="5:30" ht="43.2" x14ac:dyDescent="0.3">
      <c r="F70"/>
      <c r="G70" s="1" t="s">
        <v>1</v>
      </c>
      <c r="H70" s="1">
        <v>15.71</v>
      </c>
      <c r="I70" s="1">
        <v>6.25</v>
      </c>
      <c r="J70">
        <f t="shared" si="15"/>
        <v>-9.4600000000000009</v>
      </c>
      <c r="K70" s="1"/>
      <c r="P70" s="1" t="s">
        <v>1</v>
      </c>
      <c r="Q70" s="1">
        <v>11.29</v>
      </c>
      <c r="R70" s="1">
        <v>5.88</v>
      </c>
      <c r="S70">
        <f t="shared" si="16"/>
        <v>-5.4099999999999993</v>
      </c>
      <c r="W70"/>
      <c r="Y70" s="1" t="s">
        <v>1</v>
      </c>
      <c r="Z70" s="1">
        <v>11.7</v>
      </c>
      <c r="AA70" s="1">
        <v>7.55</v>
      </c>
      <c r="AB70">
        <f t="shared" si="17"/>
        <v>-4.1499999999999995</v>
      </c>
      <c r="AC70" s="1"/>
      <c r="AD70" s="1"/>
    </row>
    <row r="71" spans="5:30" ht="28.8" x14ac:dyDescent="0.3">
      <c r="F71"/>
      <c r="G71" s="1" t="s">
        <v>5</v>
      </c>
      <c r="H71" s="1">
        <f>SUM(20, 11.43, 5.71, 4.29, 2.86, 1.43)</f>
        <v>45.72</v>
      </c>
      <c r="I71" s="1">
        <f>SUM(43.75, 12.5, 6.25, 6.25)</f>
        <v>68.75</v>
      </c>
      <c r="J71">
        <f t="shared" si="15"/>
        <v>23.03</v>
      </c>
      <c r="K71" s="1"/>
      <c r="P71" s="1" t="s">
        <v>5</v>
      </c>
      <c r="Q71" s="1">
        <f>SUM(20.97, 11.29, 9.68, 4.84, 3.23, 3.23)</f>
        <v>53.239999999999995</v>
      </c>
      <c r="R71" s="1">
        <f>SUM(35.29, 17.65, 5.88, 5.88)</f>
        <v>64.7</v>
      </c>
      <c r="S71">
        <f t="shared" si="16"/>
        <v>11.460000000000008</v>
      </c>
      <c r="W71"/>
      <c r="Y71" s="1" t="s">
        <v>5</v>
      </c>
      <c r="Z71" s="1">
        <f>SUM(18.09, 10.11, 5.85, 5.32, 2.66, 1.6, 0.53)</f>
        <v>44.160000000000004</v>
      </c>
      <c r="AA71" s="1">
        <f>SUM(20.75, 7.55, 1.89, 1.89, 1.89, 1.89)</f>
        <v>35.86</v>
      </c>
      <c r="AB71">
        <f t="shared" si="17"/>
        <v>-8.3000000000000043</v>
      </c>
      <c r="AC71" s="1"/>
      <c r="AD71" s="1"/>
    </row>
    <row r="72" spans="5:30" x14ac:dyDescent="0.3">
      <c r="H72" s="1" t="s">
        <v>58</v>
      </c>
      <c r="Q72" t="s">
        <v>58</v>
      </c>
      <c r="R72" t="s">
        <v>60</v>
      </c>
      <c r="Z72" t="s">
        <v>58</v>
      </c>
      <c r="AA72" t="s">
        <v>58</v>
      </c>
    </row>
    <row r="74" spans="5:30" ht="201.6" x14ac:dyDescent="0.3">
      <c r="E74" s="7" t="s">
        <v>71</v>
      </c>
      <c r="F74" s="7"/>
      <c r="G74" s="7"/>
      <c r="H74" s="1" t="s">
        <v>26</v>
      </c>
      <c r="I74" s="1" t="s">
        <v>25</v>
      </c>
      <c r="J74" t="s">
        <v>27</v>
      </c>
      <c r="K74" s="1"/>
      <c r="M74" s="7" t="s">
        <v>73</v>
      </c>
      <c r="N74" s="7"/>
      <c r="O74" s="7"/>
      <c r="P74" s="1" t="s">
        <v>26</v>
      </c>
      <c r="Q74" s="1" t="s">
        <v>25</v>
      </c>
      <c r="R74" t="s">
        <v>27</v>
      </c>
      <c r="V74" s="7" t="s">
        <v>74</v>
      </c>
      <c r="W74" s="7"/>
      <c r="X74" s="7"/>
      <c r="Y74" s="1" t="s">
        <v>26</v>
      </c>
      <c r="Z74" s="1" t="s">
        <v>25</v>
      </c>
      <c r="AA74" t="s">
        <v>27</v>
      </c>
      <c r="AB74" s="1"/>
      <c r="AC74" s="1"/>
    </row>
    <row r="75" spans="5:30" ht="48.6" customHeight="1" x14ac:dyDescent="0.3">
      <c r="F75"/>
      <c r="G75" s="1" t="s">
        <v>2</v>
      </c>
      <c r="H75" s="1">
        <v>5.26</v>
      </c>
      <c r="I75" s="1">
        <v>13.16</v>
      </c>
      <c r="J75">
        <f t="shared" ref="J75:J81" si="18">I75-H75</f>
        <v>7.9</v>
      </c>
      <c r="K75" s="1"/>
      <c r="O75" s="1" t="s">
        <v>2</v>
      </c>
      <c r="P75" s="1">
        <v>5.71</v>
      </c>
      <c r="Q75" s="1">
        <v>15.38</v>
      </c>
      <c r="R75">
        <f t="shared" ref="R75:R81" si="19">Q75-P75</f>
        <v>9.6700000000000017</v>
      </c>
      <c r="V75"/>
      <c r="W75"/>
      <c r="X75" s="1" t="s">
        <v>2</v>
      </c>
      <c r="Y75" s="1">
        <v>5.77</v>
      </c>
      <c r="Z75" s="1">
        <v>19.010000000000002</v>
      </c>
      <c r="AA75">
        <f t="shared" ref="AA75:AA81" si="20">Z75-Y75</f>
        <v>13.240000000000002</v>
      </c>
      <c r="AB75" s="1"/>
      <c r="AC75" s="1"/>
    </row>
    <row r="76" spans="5:30" ht="38.4" customHeight="1" x14ac:dyDescent="0.3">
      <c r="F76"/>
      <c r="G76" s="1" t="s">
        <v>4</v>
      </c>
      <c r="H76" s="1">
        <v>1.5</v>
      </c>
      <c r="I76" s="1">
        <v>2.63</v>
      </c>
      <c r="J76">
        <f t="shared" si="18"/>
        <v>1.1299999999999999</v>
      </c>
      <c r="K76" s="1"/>
      <c r="O76" s="1" t="s">
        <v>4</v>
      </c>
      <c r="P76" s="1">
        <v>0</v>
      </c>
      <c r="Q76" s="1">
        <v>3.85</v>
      </c>
      <c r="R76">
        <f t="shared" si="19"/>
        <v>3.85</v>
      </c>
      <c r="V76"/>
      <c r="W76"/>
      <c r="X76" s="1" t="s">
        <v>4</v>
      </c>
      <c r="Y76" s="1">
        <v>0.69</v>
      </c>
      <c r="Z76" s="1">
        <v>1.65</v>
      </c>
      <c r="AA76">
        <f t="shared" si="20"/>
        <v>0.96</v>
      </c>
      <c r="AB76" s="1"/>
      <c r="AC76" s="1"/>
    </row>
    <row r="77" spans="5:30" ht="48" customHeight="1" x14ac:dyDescent="0.3">
      <c r="F77"/>
      <c r="G77" s="1" t="s">
        <v>7</v>
      </c>
      <c r="H77" s="1">
        <f>SUM(10.53, 1.5)</f>
        <v>12.03</v>
      </c>
      <c r="I77" s="1">
        <f>SUM(10.53, 2.63)</f>
        <v>13.16</v>
      </c>
      <c r="J77">
        <f t="shared" si="18"/>
        <v>1.1300000000000008</v>
      </c>
      <c r="K77" s="1"/>
      <c r="O77" s="1" t="s">
        <v>7</v>
      </c>
      <c r="P77" s="1">
        <f>SUM(5.71, 4.29)</f>
        <v>10</v>
      </c>
      <c r="Q77" s="1">
        <f>SUM(11.54)</f>
        <v>11.54</v>
      </c>
      <c r="R77">
        <f t="shared" si="19"/>
        <v>1.5399999999999991</v>
      </c>
      <c r="V77"/>
      <c r="W77"/>
      <c r="X77" s="1" t="s">
        <v>7</v>
      </c>
      <c r="Y77" s="1">
        <f>SUM(11.78, 1.39)</f>
        <v>13.17</v>
      </c>
      <c r="Z77" s="1">
        <f>SUM(11.57, 1.65)</f>
        <v>13.22</v>
      </c>
      <c r="AA77">
        <f t="shared" si="20"/>
        <v>5.0000000000000711E-2</v>
      </c>
      <c r="AB77" s="1"/>
      <c r="AC77" s="1"/>
    </row>
    <row r="78" spans="5:30" ht="44.4" customHeight="1" x14ac:dyDescent="0.3">
      <c r="F78"/>
      <c r="G78" s="1" t="s">
        <v>6</v>
      </c>
      <c r="H78" s="1">
        <v>9.02</v>
      </c>
      <c r="I78" s="1">
        <v>2.63</v>
      </c>
      <c r="J78">
        <f t="shared" si="18"/>
        <v>-6.39</v>
      </c>
      <c r="K78" s="1"/>
      <c r="O78" s="1" t="s">
        <v>6</v>
      </c>
      <c r="P78" s="1">
        <v>10</v>
      </c>
      <c r="Q78" s="1">
        <v>3.85</v>
      </c>
      <c r="R78">
        <f t="shared" si="19"/>
        <v>-6.15</v>
      </c>
      <c r="V78"/>
      <c r="W78"/>
      <c r="X78" s="1" t="s">
        <v>6</v>
      </c>
      <c r="Y78" s="1">
        <v>9.93</v>
      </c>
      <c r="Z78" s="1">
        <v>9.09</v>
      </c>
      <c r="AA78">
        <f t="shared" si="20"/>
        <v>-0.83999999999999986</v>
      </c>
      <c r="AB78" s="1"/>
      <c r="AC78" s="1"/>
    </row>
    <row r="79" spans="5:30" ht="39" customHeight="1" x14ac:dyDescent="0.3">
      <c r="F79"/>
      <c r="G79" s="1" t="s">
        <v>3</v>
      </c>
      <c r="H79" s="1">
        <f>SUM(4.51, 4.51, 0.75)</f>
        <v>9.77</v>
      </c>
      <c r="I79" s="1">
        <f>SUM(5.26, 2.63, 2.63)</f>
        <v>10.52</v>
      </c>
      <c r="J79">
        <f t="shared" si="18"/>
        <v>0.75</v>
      </c>
      <c r="K79" s="1"/>
      <c r="O79" s="1" t="s">
        <v>3</v>
      </c>
      <c r="P79" s="1">
        <f>SUM(5.71, 4.29, 2.86)</f>
        <v>12.86</v>
      </c>
      <c r="Q79" s="1">
        <f>SUM(3.85, 3.85, 3.85)</f>
        <v>11.55</v>
      </c>
      <c r="R79">
        <f t="shared" si="19"/>
        <v>-1.3099999999999987</v>
      </c>
      <c r="V79"/>
      <c r="W79"/>
      <c r="X79" s="1" t="s">
        <v>3</v>
      </c>
      <c r="Y79" s="1">
        <f>SUM(7.16, 2.54, 2.31)</f>
        <v>12.01</v>
      </c>
      <c r="Z79" s="1">
        <f>SUM(7.44, 0.83, 0.83)</f>
        <v>9.1</v>
      </c>
      <c r="AA79">
        <f t="shared" si="20"/>
        <v>-2.91</v>
      </c>
      <c r="AB79" s="1"/>
      <c r="AC79" s="1"/>
    </row>
    <row r="80" spans="5:30" ht="39.6" customHeight="1" x14ac:dyDescent="0.3">
      <c r="F80"/>
      <c r="G80" s="1" t="s">
        <v>1</v>
      </c>
      <c r="H80" s="1">
        <v>13.53</v>
      </c>
      <c r="I80" s="1">
        <v>7.89</v>
      </c>
      <c r="J80">
        <f t="shared" si="18"/>
        <v>-5.64</v>
      </c>
      <c r="K80" s="1"/>
      <c r="O80" s="1" t="s">
        <v>1</v>
      </c>
      <c r="P80" s="1">
        <v>10</v>
      </c>
      <c r="Q80" s="1">
        <v>7.69</v>
      </c>
      <c r="R80">
        <f t="shared" si="19"/>
        <v>-2.3099999999999996</v>
      </c>
      <c r="V80"/>
      <c r="W80"/>
      <c r="X80" s="1" t="s">
        <v>1</v>
      </c>
      <c r="Y80" s="1">
        <v>11.55</v>
      </c>
      <c r="Z80" s="1">
        <v>6.61</v>
      </c>
      <c r="AA80">
        <f t="shared" si="20"/>
        <v>-4.9400000000000004</v>
      </c>
      <c r="AB80" s="1"/>
      <c r="AC80" s="1"/>
    </row>
    <row r="81" spans="6:29" ht="32.4" customHeight="1" x14ac:dyDescent="0.3">
      <c r="F81"/>
      <c r="G81" s="1" t="s">
        <v>5</v>
      </c>
      <c r="H81" s="1">
        <f>SUM(17.29, 11.28, 5.26, 4.51, 3.76, 3.76, 3.01)</f>
        <v>48.86999999999999</v>
      </c>
      <c r="I81" s="1">
        <f>SUM(31.58, 5.26, 5.26, 5.26, 2.63)</f>
        <v>49.989999999999995</v>
      </c>
      <c r="J81">
        <f t="shared" si="18"/>
        <v>1.1200000000000045</v>
      </c>
      <c r="K81" s="1"/>
      <c r="O81" s="1" t="s">
        <v>5</v>
      </c>
      <c r="P81" s="1">
        <f>SUM(25.71, 10, 4.29, 2.86, 2.86, 2.86, 2.86)</f>
        <v>51.44</v>
      </c>
      <c r="Q81" s="1">
        <f>SUM(15.38, 7.69, 7.69, 7.69, 3.85, 3.85)</f>
        <v>46.150000000000006</v>
      </c>
      <c r="R81">
        <f t="shared" si="19"/>
        <v>-5.289999999999992</v>
      </c>
      <c r="V81"/>
      <c r="W81"/>
      <c r="X81" s="1" t="s">
        <v>5</v>
      </c>
      <c r="Y81" s="1">
        <f>SUM(16.86, 10.16, 8.31, 4.62, 3.46, 1.85, 1.62)</f>
        <v>46.879999999999995</v>
      </c>
      <c r="Z81" s="1">
        <f>SUM(21.49, 9.92, 6.61, 2.48, 0.83)</f>
        <v>41.329999999999991</v>
      </c>
      <c r="AA81">
        <f t="shared" si="20"/>
        <v>-5.5500000000000043</v>
      </c>
      <c r="AB81" s="1"/>
      <c r="AC81" s="1"/>
    </row>
    <row r="82" spans="6:29" ht="28.8" customHeight="1" x14ac:dyDescent="0.3">
      <c r="H82" s="1" t="s">
        <v>60</v>
      </c>
      <c r="I82" t="s">
        <v>60</v>
      </c>
      <c r="P82" t="s">
        <v>58</v>
      </c>
      <c r="Q82" t="s">
        <v>58</v>
      </c>
      <c r="Z82" t="s">
        <v>58</v>
      </c>
    </row>
  </sheetData>
  <mergeCells count="23">
    <mergeCell ref="B28:B30"/>
    <mergeCell ref="B31:B36"/>
    <mergeCell ref="B37:B38"/>
    <mergeCell ref="M74:O74"/>
    <mergeCell ref="V74:X74"/>
    <mergeCell ref="E28:G28"/>
    <mergeCell ref="N28:P28"/>
    <mergeCell ref="E37:F37"/>
    <mergeCell ref="W28:Y28"/>
    <mergeCell ref="M37:O37"/>
    <mergeCell ref="V37:X37"/>
    <mergeCell ref="E46:G46"/>
    <mergeCell ref="H36:I36"/>
    <mergeCell ref="G45:H45"/>
    <mergeCell ref="N46:P46"/>
    <mergeCell ref="W46:Y46"/>
    <mergeCell ref="E74:G74"/>
    <mergeCell ref="E55:G55"/>
    <mergeCell ref="N55:P55"/>
    <mergeCell ref="W55:Y55"/>
    <mergeCell ref="E64:G64"/>
    <mergeCell ref="N64:P64"/>
    <mergeCell ref="W64:Y64"/>
  </mergeCells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ar2529</dc:creator>
  <cp:lastModifiedBy>A Ram</cp:lastModifiedBy>
  <dcterms:created xsi:type="dcterms:W3CDTF">2025-09-25T15:25:12Z</dcterms:created>
  <dcterms:modified xsi:type="dcterms:W3CDTF">2026-09-23T20:58:48Z</dcterms:modified>
</cp:coreProperties>
</file>